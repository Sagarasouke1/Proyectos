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UARIO-112\Documents\Respaldo\VARIOS\David Jara\"/>
    </mc:Choice>
  </mc:AlternateContent>
  <xr:revisionPtr revIDLastSave="0" documentId="8_{B26109C7-25BB-42BD-ADF0-380239702FE9}" xr6:coauthVersionLast="47" xr6:coauthVersionMax="47" xr10:uidLastSave="{00000000-0000-0000-0000-000000000000}"/>
  <bookViews>
    <workbookView xWindow="-120" yWindow="-120" windowWidth="29040" windowHeight="15840" activeTab="1" xr2:uid="{DED6C1BE-27DD-433C-A8C1-35A18E6CBF7D}"/>
  </bookViews>
  <sheets>
    <sheet name="Hoja1" sheetId="1" r:id="rId1"/>
    <sheet name="FLA 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7" i="2" l="1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3" i="2"/>
  <c r="C122" i="2"/>
  <c r="C121" i="2"/>
  <c r="C120" i="2"/>
  <c r="C119" i="2"/>
  <c r="C116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1" i="2"/>
  <c r="C100" i="2"/>
  <c r="C99" i="2"/>
  <c r="C95" i="2"/>
  <c r="C94" i="2"/>
  <c r="C93" i="2"/>
  <c r="C92" i="2"/>
  <c r="C91" i="2"/>
  <c r="C90" i="2"/>
  <c r="C89" i="2"/>
  <c r="C86" i="2"/>
  <c r="C85" i="2"/>
  <c r="C84" i="2"/>
  <c r="C83" i="2"/>
  <c r="C82" i="2"/>
  <c r="C79" i="2"/>
  <c r="C78" i="2"/>
  <c r="C77" i="2"/>
  <c r="C76" i="2"/>
  <c r="C73" i="2"/>
  <c r="C72" i="2"/>
  <c r="C71" i="2"/>
  <c r="C70" i="2"/>
  <c r="C69" i="2"/>
  <c r="C68" i="2"/>
  <c r="C67" i="2"/>
  <c r="C66" i="2"/>
  <c r="C65" i="2"/>
  <c r="C64" i="2"/>
  <c r="C63" i="2"/>
  <c r="C62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4" i="2"/>
  <c r="B43" i="2"/>
  <c r="C43" i="2" s="1"/>
  <c r="C42" i="2"/>
  <c r="C41" i="2"/>
  <c r="C40" i="2"/>
  <c r="C36" i="2"/>
  <c r="C35" i="2"/>
  <c r="C32" i="2"/>
  <c r="C31" i="2"/>
  <c r="B27" i="2"/>
  <c r="C27" i="2" s="1"/>
  <c r="B26" i="2"/>
  <c r="C26" i="2" s="1"/>
  <c r="B25" i="2"/>
  <c r="C25" i="2" s="1"/>
  <c r="B24" i="2"/>
  <c r="C24" i="2" s="1"/>
  <c r="C23" i="2"/>
  <c r="C22" i="2"/>
  <c r="C21" i="2"/>
  <c r="C20" i="2"/>
  <c r="C19" i="2"/>
  <c r="C16" i="2"/>
  <c r="C15" i="2"/>
  <c r="C6" i="2"/>
  <c r="C5" i="2"/>
  <c r="I86" i="1"/>
  <c r="C246" i="1"/>
  <c r="C245" i="1"/>
  <c r="C244" i="1"/>
  <c r="C214" i="1"/>
  <c r="C213" i="1"/>
  <c r="C207" i="1"/>
  <c r="C202" i="1"/>
  <c r="C192" i="1"/>
  <c r="C181" i="1"/>
  <c r="C175" i="1"/>
  <c r="C171" i="1"/>
  <c r="C142" i="1"/>
  <c r="C141" i="1"/>
  <c r="C248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20" i="1"/>
  <c r="C121" i="1"/>
  <c r="C122" i="1"/>
  <c r="C123" i="1"/>
  <c r="C124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2" i="1"/>
  <c r="C173" i="1"/>
  <c r="C174" i="1"/>
  <c r="C176" i="1"/>
  <c r="C177" i="1"/>
  <c r="C178" i="1"/>
  <c r="C179" i="1"/>
  <c r="C180" i="1"/>
  <c r="C182" i="1"/>
  <c r="C183" i="1"/>
  <c r="C184" i="1"/>
  <c r="C185" i="1"/>
  <c r="C186" i="1"/>
  <c r="C187" i="1"/>
  <c r="C188" i="1"/>
  <c r="C189" i="1"/>
  <c r="C190" i="1"/>
  <c r="C191" i="1"/>
  <c r="C193" i="1"/>
  <c r="C194" i="1"/>
  <c r="C195" i="1"/>
  <c r="C196" i="1"/>
  <c r="C197" i="1"/>
  <c r="C198" i="1"/>
  <c r="C199" i="1"/>
  <c r="C200" i="1"/>
  <c r="C201" i="1"/>
  <c r="C203" i="1"/>
  <c r="C204" i="1"/>
  <c r="C205" i="1"/>
  <c r="C206" i="1"/>
  <c r="C208" i="1"/>
  <c r="C209" i="1"/>
  <c r="C210" i="1"/>
  <c r="C211" i="1"/>
  <c r="C212" i="1"/>
  <c r="C120" i="1"/>
  <c r="B44" i="1" l="1"/>
  <c r="C32" i="1" l="1"/>
  <c r="C33" i="1"/>
  <c r="C6" i="1"/>
  <c r="C5" i="1"/>
  <c r="C102" i="1"/>
  <c r="C101" i="1"/>
  <c r="C100" i="1"/>
  <c r="C114" i="1" l="1"/>
  <c r="C113" i="1"/>
  <c r="C117" i="1" l="1"/>
  <c r="C115" i="1"/>
  <c r="C112" i="1"/>
  <c r="C111" i="1"/>
  <c r="C110" i="1"/>
  <c r="C109" i="1"/>
  <c r="C108" i="1"/>
  <c r="C107" i="1"/>
  <c r="C106" i="1"/>
  <c r="C105" i="1"/>
  <c r="C104" i="1"/>
  <c r="C84" i="1"/>
  <c r="C85" i="1"/>
  <c r="C86" i="1"/>
  <c r="C87" i="1"/>
  <c r="C83" i="1"/>
  <c r="C80" i="1"/>
  <c r="C79" i="1"/>
  <c r="C78" i="1"/>
  <c r="C77" i="1"/>
  <c r="C64" i="1"/>
  <c r="C65" i="1"/>
  <c r="C66" i="1"/>
  <c r="C67" i="1"/>
  <c r="C68" i="1"/>
  <c r="C69" i="1"/>
  <c r="C70" i="1"/>
  <c r="C71" i="1"/>
  <c r="C72" i="1"/>
  <c r="C73" i="1"/>
  <c r="C74" i="1"/>
  <c r="C63" i="1"/>
  <c r="C42" i="1"/>
  <c r="C43" i="1"/>
  <c r="C44" i="1"/>
  <c r="C45" i="1"/>
  <c r="C41" i="1"/>
  <c r="C17" i="1"/>
  <c r="C16" i="1"/>
  <c r="C49" i="1" l="1"/>
  <c r="C50" i="1"/>
  <c r="C51" i="1"/>
  <c r="C52" i="1"/>
  <c r="C53" i="1"/>
  <c r="C54" i="1"/>
  <c r="C55" i="1"/>
  <c r="C56" i="1"/>
  <c r="C57" i="1"/>
  <c r="C58" i="1"/>
  <c r="C59" i="1"/>
  <c r="C60" i="1"/>
  <c r="C48" i="1"/>
  <c r="C91" i="1"/>
  <c r="C92" i="1"/>
  <c r="C93" i="1"/>
  <c r="C94" i="1"/>
  <c r="C95" i="1"/>
  <c r="C96" i="1"/>
  <c r="C90" i="1"/>
  <c r="C36" i="1"/>
  <c r="C37" i="1"/>
  <c r="B26" i="1"/>
  <c r="C26" i="1" s="1"/>
  <c r="B25" i="1"/>
  <c r="C25" i="1" s="1"/>
  <c r="B28" i="1"/>
  <c r="C28" i="1" s="1"/>
  <c r="C21" i="1"/>
  <c r="C22" i="1"/>
  <c r="C23" i="1"/>
  <c r="C24" i="1"/>
  <c r="C20" i="1"/>
  <c r="B27" i="1"/>
  <c r="C27" i="1" s="1"/>
  <c r="E20" i="1" l="1"/>
</calcChain>
</file>

<file path=xl/sharedStrings.xml><?xml version="1.0" encoding="utf-8"?>
<sst xmlns="http://schemas.openxmlformats.org/spreadsheetml/2006/main" count="582" uniqueCount="237">
  <si>
    <t>FLETES LINEA AZUL</t>
  </si>
  <si>
    <t>Propuesta Salarial 2024</t>
  </si>
  <si>
    <t>Prolongación por hora servicio dedicado</t>
  </si>
  <si>
    <t>Compensación por día domingo o festivo</t>
  </si>
  <si>
    <t>Prolongación por hora lunes a sabado</t>
  </si>
  <si>
    <t>Foraneo Zona México-TR2</t>
  </si>
  <si>
    <t>Local Zona 1 hasta 50 km</t>
  </si>
  <si>
    <t>Prolongación por hora</t>
  </si>
  <si>
    <t xml:space="preserve">México-Torton (C3) </t>
  </si>
  <si>
    <t>Local  Zona 2  de 51 hasta 100 km</t>
  </si>
  <si>
    <t>Prolongacón por hora</t>
  </si>
  <si>
    <t>Última Milla (Amazon-Mercado Libre)</t>
  </si>
  <si>
    <t>Autotanques</t>
  </si>
  <si>
    <t>De 0 a 200 km</t>
  </si>
  <si>
    <t>De 201 a 400 km</t>
  </si>
  <si>
    <t>De 401 a 1000 Km</t>
  </si>
  <si>
    <t>De 1001 a 1500 Km</t>
  </si>
  <si>
    <t>De 1501 a 2000 Km</t>
  </si>
  <si>
    <t>De 2001 a 2500 Km</t>
  </si>
  <si>
    <t>De 2501 a 3000 Km</t>
  </si>
  <si>
    <t>De 3001 a 3500 Km</t>
  </si>
  <si>
    <t>De 3501 a 4000 Km</t>
  </si>
  <si>
    <t>De 4001 a 4500 Km</t>
  </si>
  <si>
    <t>De 4501 a 5000 Km</t>
  </si>
  <si>
    <t>Día de demora en carga o descarga</t>
  </si>
  <si>
    <t>Recorrido lavado de tanque</t>
  </si>
  <si>
    <t>Dedicado TR2 Zona Guadalajara HP</t>
  </si>
  <si>
    <t>Operador Tractocamión local por 12 horas</t>
  </si>
  <si>
    <t>Prolongacón por hora Tractocamiòn</t>
  </si>
  <si>
    <t xml:space="preserve">Operador Rabon Local por 12 Horas        </t>
  </si>
  <si>
    <t>Prolongación por hora operador Rabòn</t>
  </si>
  <si>
    <t>Ayudante Rabòn por 12 Horas</t>
  </si>
  <si>
    <t>Prolongación por hora Ayudante Rabòn</t>
  </si>
  <si>
    <t>Pago por domingo trabajado tractocamion</t>
  </si>
  <si>
    <t>Prima Dominical Tractocamion</t>
  </si>
  <si>
    <t>Pago por domingo trabajado operador rabon</t>
  </si>
  <si>
    <t>Prima Dominical Operador Rabòn</t>
  </si>
  <si>
    <t>Pago por domingo trabajado ayudante rabon</t>
  </si>
  <si>
    <t>Prima Dominical Ayudante de rabón</t>
  </si>
  <si>
    <t>Dedicado TR2 Zona Cd. México</t>
  </si>
  <si>
    <t>Pago por domingo trabajado</t>
  </si>
  <si>
    <t>Prima dominical</t>
  </si>
  <si>
    <t>Dedicado Camioneta 3.5 Ton. Zona Cd. México</t>
  </si>
  <si>
    <t>Operador Camioneta 1.5 a 3.5 toneladas</t>
  </si>
  <si>
    <t>Prolongación por hora primeras 9 hrs semanales</t>
  </si>
  <si>
    <t>Prolongación después de las primeras 9 hrs semanales</t>
  </si>
  <si>
    <t>Pago en Domingo y día de descanso obligatorio</t>
  </si>
  <si>
    <t xml:space="preserve">Prima Dominical </t>
  </si>
  <si>
    <t>Operador Rabón salario</t>
  </si>
  <si>
    <t>Prolongación por hora (viaje local)</t>
  </si>
  <si>
    <t>Reparto adicional (Puerto Vallarta)</t>
  </si>
  <si>
    <t>Descanso obligatorio trabajado</t>
  </si>
  <si>
    <t>Ayudante Rabón salario</t>
  </si>
  <si>
    <t>Prolongación por hora ayudante (viaje local)</t>
  </si>
  <si>
    <t>Reparto adicional Ayudante (Puerto Vallarta)</t>
  </si>
  <si>
    <t>Descanso obligatorio trabajado ayudante</t>
  </si>
  <si>
    <t>Apaseo-Tijuana-Apaseo</t>
  </si>
  <si>
    <t>Multiclientes</t>
  </si>
  <si>
    <t xml:space="preserve">De 0 a 200 km </t>
  </si>
  <si>
    <t>De 201 a 500 km</t>
  </si>
  <si>
    <t>De 501 a 800 km</t>
  </si>
  <si>
    <t>De 801 a 1100 km</t>
  </si>
  <si>
    <t>De 1101 a 1400 km</t>
  </si>
  <si>
    <t>De 1401 a 1700 km</t>
  </si>
  <si>
    <t>De 1701 a 2000 km</t>
  </si>
  <si>
    <t>De 2001 a 2300 km</t>
  </si>
  <si>
    <t>Demora o estancia en viaje</t>
  </si>
  <si>
    <t>Compensación  dominical</t>
  </si>
  <si>
    <t>Guía</t>
  </si>
  <si>
    <t>Guadalajara-Puerto Vallarta- Guadalajara</t>
  </si>
  <si>
    <t>Demoras</t>
  </si>
  <si>
    <t>Hora extra</t>
  </si>
  <si>
    <t>Local Guadalajara</t>
  </si>
  <si>
    <t>PMI</t>
  </si>
  <si>
    <t>Salario de Garantía</t>
  </si>
  <si>
    <t>Forma (Toyota)</t>
  </si>
  <si>
    <t>Traslado de remolque vacío (Tijuana-Tecate) Tractor Ryder</t>
  </si>
  <si>
    <t xml:space="preserve">Rescate a otra línea </t>
  </si>
  <si>
    <t>Apoyo Operativo</t>
  </si>
  <si>
    <t>Salario Amazon</t>
  </si>
  <si>
    <t>Salario Mercado Libre</t>
  </si>
  <si>
    <t>Día trabajado en descanso Amazon</t>
  </si>
  <si>
    <t>Día trabajado en descanso Mercado Libre</t>
  </si>
  <si>
    <t>Actual</t>
  </si>
  <si>
    <t>Compensación mensual del 2% Puntualidad, paquetes entregados y no DNRS</t>
  </si>
  <si>
    <t>Salario operador en domingo</t>
  </si>
  <si>
    <t>Salario de garantía operador</t>
  </si>
  <si>
    <t>Amatitán - Guadalajara TR1</t>
  </si>
  <si>
    <t>Salario operador coordinador Amatitan TR1</t>
  </si>
  <si>
    <t>Bono no daños</t>
  </si>
  <si>
    <t>Compensación por Domingo trabajado y festivo</t>
  </si>
  <si>
    <t>Servicios Retail</t>
  </si>
  <si>
    <t>Nuevo</t>
  </si>
  <si>
    <t xml:space="preserve">Compensación Coordinador en domingo y festivo trabajado </t>
  </si>
  <si>
    <t>Local Zona 1 hasta 100 km</t>
  </si>
  <si>
    <t>Local Zona 2 de 101 a 250 km</t>
  </si>
  <si>
    <t>Dedicado TR2 México por 12 Horas  Tractocamión</t>
  </si>
  <si>
    <t>Dedicado Rabón Guadalajara Ryder Toyota</t>
  </si>
  <si>
    <t>Reparto Adicional</t>
  </si>
  <si>
    <t>Traslado caja vacía</t>
  </si>
  <si>
    <t>Local Gudalajara</t>
  </si>
  <si>
    <t>Local Mexico y/o Monterrey</t>
  </si>
  <si>
    <t>Origen: Guadalajara</t>
  </si>
  <si>
    <t>Local Atotonilco</t>
  </si>
  <si>
    <t xml:space="preserve">Salario operador </t>
  </si>
  <si>
    <t>Torton Guadalajara (C3)</t>
  </si>
  <si>
    <t>251 a 350 kms</t>
  </si>
  <si>
    <t>351 a 3000 kms</t>
  </si>
  <si>
    <t>Carga de combustible (Pago por traslado, cada 3er día)</t>
  </si>
  <si>
    <t>Acaponeta</t>
  </si>
  <si>
    <t>Agua Prieta</t>
  </si>
  <si>
    <t>Aguascalientes</t>
  </si>
  <si>
    <t>Amatitan</t>
  </si>
  <si>
    <t>Ameca</t>
  </si>
  <si>
    <t>Atotonilco</t>
  </si>
  <si>
    <t>Arandas</t>
  </si>
  <si>
    <t>Armeria</t>
  </si>
  <si>
    <t>Autlan</t>
  </si>
  <si>
    <t>Caborca</t>
  </si>
  <si>
    <t>Cancun</t>
  </si>
  <si>
    <t>Celaya</t>
  </si>
  <si>
    <t>Chapala</t>
  </si>
  <si>
    <t>Ciudad De Mexico</t>
  </si>
  <si>
    <t>Ciudad Guzman</t>
  </si>
  <si>
    <t>Ciudad Obregon</t>
  </si>
  <si>
    <t>Colima</t>
  </si>
  <si>
    <t xml:space="preserve">Compostela </t>
  </si>
  <si>
    <t>Cortazar</t>
  </si>
  <si>
    <t>Culiacan</t>
  </si>
  <si>
    <t>Escuinapa</t>
  </si>
  <si>
    <t>Fresnillo</t>
  </si>
  <si>
    <t>Gomez Palacio</t>
  </si>
  <si>
    <t>Guadalajara Local</t>
  </si>
  <si>
    <t>Guadalupe</t>
  </si>
  <si>
    <t xml:space="preserve">Guanajuato </t>
  </si>
  <si>
    <t>Guaymas</t>
  </si>
  <si>
    <t>Hermosillo</t>
  </si>
  <si>
    <t>Huatabampo</t>
  </si>
  <si>
    <t>Irapuato</t>
  </si>
  <si>
    <t>Ixtlan Del Rio</t>
  </si>
  <si>
    <t>Jalostotitlan</t>
  </si>
  <si>
    <t>La Barca</t>
  </si>
  <si>
    <t xml:space="preserve">La Piedad </t>
  </si>
  <si>
    <t>Lagos De Moreno</t>
  </si>
  <si>
    <t>Lazaro Cardenas</t>
  </si>
  <si>
    <t>Leon</t>
  </si>
  <si>
    <t>Los Mochis ( Ahome,Guasave )</t>
  </si>
  <si>
    <t>Los Reyes</t>
  </si>
  <si>
    <t>Manzanillo</t>
  </si>
  <si>
    <t>Matehuala</t>
  </si>
  <si>
    <t>Mazatlan</t>
  </si>
  <si>
    <t>Merida</t>
  </si>
  <si>
    <t>Monterrey</t>
  </si>
  <si>
    <t>Morelia</t>
  </si>
  <si>
    <t>Moroleon</t>
  </si>
  <si>
    <t>Navojoa</t>
  </si>
  <si>
    <t xml:space="preserve">Nogales </t>
  </si>
  <si>
    <t>Ocotlan</t>
  </si>
  <si>
    <t>Puebla</t>
  </si>
  <si>
    <t>Puerto Vallarta</t>
  </si>
  <si>
    <t>Rio Grande</t>
  </si>
  <si>
    <t>Sahuayo</t>
  </si>
  <si>
    <t>Salamanca</t>
  </si>
  <si>
    <t>San Blas</t>
  </si>
  <si>
    <t>San Francisco Del Rincon</t>
  </si>
  <si>
    <t>San Ignacio Cerro Gordo</t>
  </si>
  <si>
    <t>San Juan De Los Lagos</t>
  </si>
  <si>
    <t>San Luis La Paz</t>
  </si>
  <si>
    <t>San Luis Potosi</t>
  </si>
  <si>
    <t>San Mateo Atenco</t>
  </si>
  <si>
    <t>Sanfrancisco De Los Romo/Arteaga</t>
  </si>
  <si>
    <t>Santiago Ixcuintla</t>
  </si>
  <si>
    <t>Sayula</t>
  </si>
  <si>
    <t>Soledad</t>
  </si>
  <si>
    <t>Sombrerete</t>
  </si>
  <si>
    <t>Tecolotlan</t>
  </si>
  <si>
    <t>Tecoman</t>
  </si>
  <si>
    <t>Tecuala</t>
  </si>
  <si>
    <t>Tepatitlan De Morelos</t>
  </si>
  <si>
    <t>Tepic</t>
  </si>
  <si>
    <t>Tequila</t>
  </si>
  <si>
    <t>Tijuana</t>
  </si>
  <si>
    <t>Tlajomulco</t>
  </si>
  <si>
    <t>Tonala</t>
  </si>
  <si>
    <t>Tuxpan</t>
  </si>
  <si>
    <t>Uriangato</t>
  </si>
  <si>
    <t>Uruapan</t>
  </si>
  <si>
    <t>Villa De Alvarez</t>
  </si>
  <si>
    <t>Yurecuaro</t>
  </si>
  <si>
    <t>Zacatecas</t>
  </si>
  <si>
    <t>Zamora</t>
  </si>
  <si>
    <t>Zapotlanejo</t>
  </si>
  <si>
    <t>Zitacuaro</t>
  </si>
  <si>
    <t>Día de demora</t>
  </si>
  <si>
    <t>Salario Garantia</t>
  </si>
  <si>
    <t xml:space="preserve">Jocotitlan </t>
  </si>
  <si>
    <t>Tlaxcala</t>
  </si>
  <si>
    <t>Queretaro</t>
  </si>
  <si>
    <t>San Miguel Allende Gto</t>
  </si>
  <si>
    <t>Oaxaca</t>
  </si>
  <si>
    <t>Tehuacan Pue</t>
  </si>
  <si>
    <t>Villahermosa</t>
  </si>
  <si>
    <t>Veracruz</t>
  </si>
  <si>
    <t>Poza Rica Ver.</t>
  </si>
  <si>
    <t>Xalapa</t>
  </si>
  <si>
    <t>Cuernavaca</t>
  </si>
  <si>
    <t>Cordoba Ver.</t>
  </si>
  <si>
    <t>Ixmiquilpan Hgo</t>
  </si>
  <si>
    <t>Acapulco</t>
  </si>
  <si>
    <t>Saltillo</t>
  </si>
  <si>
    <t>Huejutla De Reyes Hgo</t>
  </si>
  <si>
    <t>nvo</t>
  </si>
  <si>
    <t>Apatzingan</t>
  </si>
  <si>
    <t>El Salto</t>
  </si>
  <si>
    <t>Ensenada</t>
  </si>
  <si>
    <t>San Jose Iturbide Gto</t>
  </si>
  <si>
    <t>Tamuin</t>
  </si>
  <si>
    <t>Toluca</t>
  </si>
  <si>
    <t>Xalisco</t>
  </si>
  <si>
    <t>Amatitan-Mexico</t>
  </si>
  <si>
    <t>Huejotzingo-Gdl</t>
  </si>
  <si>
    <t>sueldo CANACAR</t>
  </si>
  <si>
    <t>Hubo correccion de kms sueldo $1,817</t>
  </si>
  <si>
    <t>Hubo correccion de kms sueldo $1,488</t>
  </si>
  <si>
    <t>Hubo correccion de kms sueldo $1,326</t>
  </si>
  <si>
    <t>Huejotzingo Puebla</t>
  </si>
  <si>
    <t>Tulancingo Hgo</t>
  </si>
  <si>
    <t>San Luis La Paz Gto</t>
  </si>
  <si>
    <t xml:space="preserve">Revisando esta ruta son menos kilometros y por lo tanto era menos en pesos </t>
  </si>
  <si>
    <t>costo x km</t>
  </si>
  <si>
    <t>total 2023</t>
  </si>
  <si>
    <t>sin decimales</t>
  </si>
  <si>
    <t>circuitos</t>
  </si>
  <si>
    <t>SABANA</t>
  </si>
  <si>
    <t>OBSERVACIONES</t>
  </si>
  <si>
    <t>VALE DE SUELDO</t>
  </si>
  <si>
    <t>VALE DE 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</si>
</sst>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&quot;$&quot;* #,##0_-;\-&quot;$&quot;* #,##0_-;_-&quot;$&quot;* &quot;-&quot;??_-;_-@_-"/>
    <numFmt numFmtId="165" formatCode="_-&quot;$&quot;* #,##0.0000_-;\-&quot;$&quot;* #,##0.0000_-;_-&quot;$&quot;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2" fillId="0" borderId="0" xfId="0" applyFont="1"/>
    <xf numFmtId="164" fontId="3" fillId="0" borderId="0" xfId="1" applyNumberFormat="1" applyFont="1"/>
    <xf numFmtId="0" fontId="3" fillId="0" borderId="0" xfId="0" applyFont="1" applyAlignment="1">
      <alignment vertical="center"/>
    </xf>
    <xf numFmtId="164" fontId="3" fillId="0" borderId="0" xfId="1" applyNumberFormat="1" applyFont="1" applyAlignment="1">
      <alignment vertical="center"/>
    </xf>
    <xf numFmtId="44" fontId="3" fillId="0" borderId="0" xfId="0" applyNumberFormat="1" applyFont="1"/>
    <xf numFmtId="44" fontId="3" fillId="0" borderId="0" xfId="1" applyFont="1"/>
    <xf numFmtId="0" fontId="2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0" fontId="3" fillId="0" borderId="0" xfId="2" applyNumberFormat="1" applyFont="1"/>
    <xf numFmtId="4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4" fontId="3" fillId="0" borderId="0" xfId="1" applyFont="1" applyAlignment="1">
      <alignment vertical="center"/>
    </xf>
    <xf numFmtId="164" fontId="3" fillId="0" borderId="0" xfId="0" applyNumberFormat="1" applyFont="1"/>
    <xf numFmtId="164" fontId="3" fillId="0" borderId="0" xfId="1" applyNumberFormat="1" applyFont="1" applyAlignment="1">
      <alignment horizontal="center"/>
    </xf>
    <xf numFmtId="165" fontId="3" fillId="0" borderId="0" xfId="0" applyNumberFormat="1" applyFont="1"/>
    <xf numFmtId="0" fontId="4" fillId="0" borderId="0" xfId="0" applyFont="1" applyAlignment="1">
      <alignment vertical="center"/>
    </xf>
    <xf numFmtId="0" fontId="3" fillId="2" borderId="0" xfId="0" applyFont="1" applyFill="1"/>
    <xf numFmtId="164" fontId="3" fillId="2" borderId="0" xfId="1" applyNumberFormat="1" applyFont="1" applyFill="1"/>
    <xf numFmtId="164" fontId="3" fillId="2" borderId="0" xfId="0" applyNumberFormat="1" applyFont="1" applyFill="1"/>
    <xf numFmtId="0" fontId="3" fillId="2" borderId="0" xfId="0" applyFont="1" applyFill="1" applyAlignment="1">
      <alignment vertical="center"/>
    </xf>
    <xf numFmtId="44" fontId="3" fillId="2" borderId="0" xfId="1" applyFont="1" applyFill="1"/>
    <xf numFmtId="0" fontId="4" fillId="2" borderId="0" xfId="0" applyFont="1" applyFill="1" applyAlignment="1">
      <alignment vertical="center"/>
    </xf>
    <xf numFmtId="44" fontId="3" fillId="2" borderId="0" xfId="0" applyNumberFormat="1" applyFont="1" applyFill="1"/>
    <xf numFmtId="0" fontId="3" fillId="3" borderId="0" xfId="0" applyFont="1" applyFill="1"/>
    <xf numFmtId="164" fontId="3" fillId="3" borderId="0" xfId="1" applyNumberFormat="1" applyFont="1" applyFill="1"/>
    <xf numFmtId="164" fontId="3" fillId="3" borderId="0" xfId="0" applyNumberFormat="1" applyFont="1" applyFill="1"/>
    <xf numFmtId="0" fontId="2" fillId="4" borderId="0" xfId="0" applyFont="1" applyFill="1"/>
    <xf numFmtId="0" fontId="5" fillId="0" borderId="0" xfId="0" applyFont="1"/>
    <xf numFmtId="164" fontId="5" fillId="0" borderId="0" xfId="1" applyNumberFormat="1" applyFont="1"/>
    <xf numFmtId="164" fontId="5" fillId="0" borderId="0" xfId="0" applyNumberFormat="1" applyFont="1"/>
    <xf numFmtId="164" fontId="3" fillId="0" borderId="0" xfId="1" applyNumberFormat="1" applyFont="1" applyFill="1"/>
    <xf numFmtId="0" fontId="2" fillId="5" borderId="0" xfId="0" applyFont="1" applyFill="1"/>
    <xf numFmtId="164" fontId="2" fillId="5" borderId="0" xfId="1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5" borderId="0" xfId="0" applyFont="1" applyFill="1"/>
    <xf numFmtId="44" fontId="3" fillId="5" borderId="0" xfId="1" applyFont="1" applyFill="1"/>
    <xf numFmtId="164" fontId="3" fillId="5" borderId="0" xfId="0" applyNumberFormat="1" applyFont="1" applyFill="1"/>
    <xf numFmtId="164" fontId="3" fillId="5" borderId="0" xfId="1" applyNumberFormat="1" applyFont="1" applyFill="1"/>
    <xf numFmtId="44" fontId="3" fillId="5" borderId="0" xfId="0" applyNumberFormat="1" applyFont="1" applyFill="1"/>
    <xf numFmtId="165" fontId="3" fillId="5" borderId="0" xfId="0" applyNumberFormat="1" applyFont="1" applyFill="1"/>
    <xf numFmtId="0" fontId="3" fillId="5" borderId="0" xfId="0" applyFont="1" applyFill="1" applyAlignment="1">
      <alignment vertical="center"/>
    </xf>
    <xf numFmtId="44" fontId="3" fillId="5" borderId="0" xfId="1" applyFont="1" applyFill="1" applyAlignment="1">
      <alignment vertical="center"/>
    </xf>
    <xf numFmtId="164" fontId="3" fillId="5" borderId="0" xfId="1" applyNumberFormat="1" applyFont="1" applyFill="1" applyAlignment="1">
      <alignment vertical="center"/>
    </xf>
    <xf numFmtId="0" fontId="3" fillId="6" borderId="0" xfId="0" applyFont="1" applyFill="1"/>
    <xf numFmtId="164" fontId="3" fillId="6" borderId="0" xfId="1" applyNumberFormat="1" applyFont="1" applyFill="1"/>
    <xf numFmtId="164" fontId="3" fillId="6" borderId="0" xfId="0" applyNumberFormat="1" applyFont="1" applyFill="1"/>
    <xf numFmtId="44" fontId="3" fillId="6" borderId="0" xfId="0" applyNumberFormat="1" applyFont="1" applyFill="1"/>
    <xf numFmtId="44" fontId="3" fillId="6" borderId="0" xfId="1" applyFont="1" applyFill="1"/>
    <xf numFmtId="164" fontId="2" fillId="0" borderId="0" xfId="1" applyNumberFormat="1" applyFont="1" applyFill="1" applyAlignment="1">
      <alignment horizontal="center"/>
    </xf>
    <xf numFmtId="164" fontId="5" fillId="0" borderId="0" xfId="1" applyNumberFormat="1" applyFont="1" applyFill="1"/>
    <xf numFmtId="0" fontId="2" fillId="0" borderId="0" xfId="0" applyFon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237</xdr:row>
      <xdr:rowOff>0</xdr:rowOff>
    </xdr:from>
    <xdr:to>
      <xdr:col>22</xdr:col>
      <xdr:colOff>151295</xdr:colOff>
      <xdr:row>238</xdr:row>
      <xdr:rowOff>9499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8BD39B-791D-ADCF-1E68-31AE85163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0" y="46062900"/>
          <a:ext cx="8838095" cy="2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236</xdr:row>
      <xdr:rowOff>0</xdr:rowOff>
    </xdr:from>
    <xdr:to>
      <xdr:col>17</xdr:col>
      <xdr:colOff>151295</xdr:colOff>
      <xdr:row>237</xdr:row>
      <xdr:rowOff>9499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F44B17-B67B-45C5-865F-5C0703CE2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0" y="46062900"/>
          <a:ext cx="8838095" cy="20952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C7FD-FC00-46D5-B4A4-F747B8073EED}">
  <sheetPr>
    <pageSetUpPr fitToPage="1"/>
  </sheetPr>
  <dimension ref="A1:V249"/>
  <sheetViews>
    <sheetView zoomScaleNormal="100" workbookViewId="0">
      <selection activeCell="G24" sqref="G24"/>
    </sheetView>
  </sheetViews>
  <sheetFormatPr baseColWidth="10" defaultColWidth="10.85546875" defaultRowHeight="15.75" x14ac:dyDescent="0.25"/>
  <cols>
    <col min="1" max="1" width="73.85546875" style="1" bestFit="1" customWidth="1"/>
    <col min="2" max="2" width="12.7109375" style="3" bestFit="1" customWidth="1"/>
    <col min="3" max="3" width="19.7109375" style="1" bestFit="1" customWidth="1"/>
    <col min="4" max="4" width="10.85546875" style="1"/>
    <col min="5" max="5" width="11.5703125" style="1" bestFit="1" customWidth="1"/>
    <col min="6" max="6" width="13.5703125" style="1" bestFit="1" customWidth="1"/>
    <col min="7" max="16384" width="10.85546875" style="1"/>
  </cols>
  <sheetData>
    <row r="1" spans="1:3" x14ac:dyDescent="0.25">
      <c r="A1" s="54" t="s">
        <v>0</v>
      </c>
      <c r="B1" s="54"/>
    </row>
    <row r="2" spans="1:3" x14ac:dyDescent="0.25">
      <c r="A2" s="54" t="s">
        <v>1</v>
      </c>
      <c r="B2" s="54"/>
    </row>
    <row r="3" spans="1:3" x14ac:dyDescent="0.25">
      <c r="B3" s="10" t="s">
        <v>83</v>
      </c>
      <c r="C3" s="8" t="s">
        <v>92</v>
      </c>
    </row>
    <row r="4" spans="1:3" x14ac:dyDescent="0.25">
      <c r="A4" s="2" t="s">
        <v>75</v>
      </c>
    </row>
    <row r="5" spans="1:3" x14ac:dyDescent="0.25">
      <c r="A5" s="1" t="s">
        <v>56</v>
      </c>
      <c r="B5" s="7">
        <v>2.1059999999999999</v>
      </c>
      <c r="C5" s="18">
        <f t="shared" ref="C5:C6" si="0">B5*1.05</f>
        <v>2.2113</v>
      </c>
    </row>
    <row r="6" spans="1:3" x14ac:dyDescent="0.25">
      <c r="A6" s="1" t="s">
        <v>76</v>
      </c>
      <c r="B6" s="3">
        <v>367</v>
      </c>
      <c r="C6" s="16">
        <f t="shared" si="0"/>
        <v>385.35</v>
      </c>
    </row>
    <row r="7" spans="1:3" x14ac:dyDescent="0.25">
      <c r="B7" s="7"/>
    </row>
    <row r="8" spans="1:3" x14ac:dyDescent="0.25">
      <c r="A8" s="2" t="s">
        <v>91</v>
      </c>
      <c r="B8" s="10" t="s">
        <v>83</v>
      </c>
      <c r="C8" s="8" t="s">
        <v>92</v>
      </c>
    </row>
    <row r="9" spans="1:3" x14ac:dyDescent="0.25">
      <c r="A9" s="1" t="s">
        <v>69</v>
      </c>
      <c r="B9" s="7">
        <v>1873.52</v>
      </c>
      <c r="C9" s="16">
        <v>2170</v>
      </c>
    </row>
    <row r="10" spans="1:3" x14ac:dyDescent="0.25">
      <c r="A10" s="1" t="s">
        <v>89</v>
      </c>
      <c r="B10" s="3">
        <v>187.35</v>
      </c>
      <c r="C10" s="16">
        <v>217</v>
      </c>
    </row>
    <row r="11" spans="1:3" x14ac:dyDescent="0.25">
      <c r="A11" s="1" t="s">
        <v>70</v>
      </c>
      <c r="B11" s="3">
        <v>367</v>
      </c>
      <c r="C11" s="16">
        <v>386</v>
      </c>
    </row>
    <row r="12" spans="1:3" x14ac:dyDescent="0.25">
      <c r="A12" s="1" t="s">
        <v>90</v>
      </c>
      <c r="B12" s="3">
        <v>725.25</v>
      </c>
      <c r="C12" s="16">
        <v>725</v>
      </c>
    </row>
    <row r="13" spans="1:3" x14ac:dyDescent="0.25">
      <c r="B13" s="7"/>
    </row>
    <row r="14" spans="1:3" x14ac:dyDescent="0.25">
      <c r="B14" s="7"/>
    </row>
    <row r="15" spans="1:3" x14ac:dyDescent="0.25">
      <c r="A15" s="2" t="s">
        <v>73</v>
      </c>
      <c r="B15" s="10" t="s">
        <v>83</v>
      </c>
      <c r="C15" s="8" t="s">
        <v>92</v>
      </c>
    </row>
    <row r="16" spans="1:3" x14ac:dyDescent="0.25">
      <c r="A16" s="1" t="s">
        <v>72</v>
      </c>
      <c r="B16" s="3">
        <v>1350</v>
      </c>
      <c r="C16" s="16">
        <f t="shared" ref="C16:C17" si="1">B16*1.05</f>
        <v>1417.5</v>
      </c>
    </row>
    <row r="17" spans="1:8" x14ac:dyDescent="0.25">
      <c r="A17" s="1" t="s">
        <v>71</v>
      </c>
      <c r="B17" s="3">
        <v>110</v>
      </c>
      <c r="C17" s="16">
        <f t="shared" si="1"/>
        <v>115.5</v>
      </c>
    </row>
    <row r="18" spans="1:8" x14ac:dyDescent="0.25">
      <c r="B18" s="7"/>
    </row>
    <row r="19" spans="1:8" x14ac:dyDescent="0.25">
      <c r="A19" s="2" t="s">
        <v>11</v>
      </c>
      <c r="B19" s="10" t="s">
        <v>83</v>
      </c>
      <c r="C19" s="8" t="s">
        <v>92</v>
      </c>
    </row>
    <row r="20" spans="1:8" x14ac:dyDescent="0.25">
      <c r="A20" s="1" t="s">
        <v>79</v>
      </c>
      <c r="B20" s="7">
        <v>653.17999999999995</v>
      </c>
      <c r="C20" s="16">
        <f>B20*1.05</f>
        <v>685.83899999999994</v>
      </c>
      <c r="E20" s="6">
        <f>C20*6+C21-500</f>
        <v>3786.4884999999995</v>
      </c>
    </row>
    <row r="21" spans="1:8" x14ac:dyDescent="0.25">
      <c r="A21" s="1" t="s">
        <v>3</v>
      </c>
      <c r="B21" s="7">
        <v>163.29</v>
      </c>
      <c r="C21" s="16">
        <f t="shared" ref="C21:C28" si="2">B21*1.05</f>
        <v>171.4545</v>
      </c>
    </row>
    <row r="22" spans="1:8" x14ac:dyDescent="0.25">
      <c r="A22" s="1" t="s">
        <v>80</v>
      </c>
      <c r="B22" s="7">
        <v>700</v>
      </c>
      <c r="C22" s="6">
        <f t="shared" si="2"/>
        <v>735</v>
      </c>
    </row>
    <row r="23" spans="1:8" x14ac:dyDescent="0.25">
      <c r="A23" s="1" t="s">
        <v>3</v>
      </c>
      <c r="B23" s="7">
        <v>175</v>
      </c>
      <c r="C23" s="16">
        <f t="shared" si="2"/>
        <v>183.75</v>
      </c>
    </row>
    <row r="24" spans="1:8" x14ac:dyDescent="0.25">
      <c r="A24" s="1" t="s">
        <v>74</v>
      </c>
      <c r="B24" s="7">
        <v>548.78</v>
      </c>
      <c r="C24" s="6">
        <f t="shared" si="2"/>
        <v>576.21900000000005</v>
      </c>
    </row>
    <row r="25" spans="1:8" x14ac:dyDescent="0.25">
      <c r="A25" s="20" t="s">
        <v>81</v>
      </c>
      <c r="B25" s="21">
        <f>B20*1.1666</f>
        <v>761.99978799999997</v>
      </c>
      <c r="C25" s="22">
        <f t="shared" si="2"/>
        <v>800.09977739999999</v>
      </c>
      <c r="D25" s="1" t="s">
        <v>231</v>
      </c>
    </row>
    <row r="26" spans="1:8" x14ac:dyDescent="0.25">
      <c r="A26" s="20" t="s">
        <v>82</v>
      </c>
      <c r="B26" s="21">
        <f>B22*1.1666</f>
        <v>816.62</v>
      </c>
      <c r="C26" s="22">
        <f t="shared" si="2"/>
        <v>857.45100000000002</v>
      </c>
      <c r="D26" s="1" t="s">
        <v>231</v>
      </c>
    </row>
    <row r="27" spans="1:8" x14ac:dyDescent="0.25">
      <c r="A27" s="1" t="s">
        <v>77</v>
      </c>
      <c r="B27" s="3">
        <f>B20/2</f>
        <v>326.58999999999997</v>
      </c>
      <c r="C27" s="16">
        <f t="shared" si="2"/>
        <v>342.91949999999997</v>
      </c>
    </row>
    <row r="28" spans="1:8" x14ac:dyDescent="0.25">
      <c r="A28" s="1" t="s">
        <v>78</v>
      </c>
      <c r="B28" s="3">
        <f>B20/2</f>
        <v>326.58999999999997</v>
      </c>
      <c r="C28" s="16">
        <f t="shared" si="2"/>
        <v>342.91949999999997</v>
      </c>
    </row>
    <row r="29" spans="1:8" x14ac:dyDescent="0.25">
      <c r="A29" s="1" t="s">
        <v>84</v>
      </c>
    </row>
    <row r="31" spans="1:8" x14ac:dyDescent="0.25">
      <c r="A31" s="2" t="s">
        <v>87</v>
      </c>
      <c r="B31" s="10" t="s">
        <v>83</v>
      </c>
      <c r="C31" s="8" t="s">
        <v>92</v>
      </c>
      <c r="E31" s="9"/>
      <c r="F31" s="13"/>
      <c r="G31" s="14"/>
      <c r="H31" s="13"/>
    </row>
    <row r="32" spans="1:8" x14ac:dyDescent="0.25">
      <c r="A32" s="23" t="s">
        <v>104</v>
      </c>
      <c r="B32" s="24">
        <v>959</v>
      </c>
      <c r="C32" s="22">
        <f t="shared" ref="C32" si="3">B32*1.05</f>
        <v>1006.95</v>
      </c>
      <c r="D32" s="3" t="s">
        <v>232</v>
      </c>
      <c r="E32" s="12"/>
      <c r="F32" s="6"/>
      <c r="G32" s="3"/>
      <c r="H32" s="11"/>
    </row>
    <row r="33" spans="1:8" x14ac:dyDescent="0.25">
      <c r="A33" s="4" t="s">
        <v>4</v>
      </c>
      <c r="B33" s="15">
        <v>110</v>
      </c>
      <c r="C33" s="16">
        <f>B33*1.05</f>
        <v>115.5</v>
      </c>
      <c r="D33" s="5"/>
      <c r="F33" s="6"/>
      <c r="G33" s="6"/>
      <c r="H33" s="11"/>
    </row>
    <row r="34" spans="1:8" x14ac:dyDescent="0.25">
      <c r="A34" s="4" t="s">
        <v>85</v>
      </c>
      <c r="B34" s="15">
        <v>959</v>
      </c>
      <c r="C34" s="16">
        <v>1007</v>
      </c>
    </row>
    <row r="35" spans="1:8" x14ac:dyDescent="0.25">
      <c r="A35" s="4" t="s">
        <v>86</v>
      </c>
      <c r="B35" s="15">
        <v>725.25</v>
      </c>
      <c r="C35" s="16">
        <v>725</v>
      </c>
    </row>
    <row r="36" spans="1:8" x14ac:dyDescent="0.25">
      <c r="A36" s="4" t="s">
        <v>88</v>
      </c>
      <c r="B36" s="15">
        <v>1080</v>
      </c>
      <c r="C36" s="16">
        <f>B36*1.05</f>
        <v>1134</v>
      </c>
    </row>
    <row r="37" spans="1:8" x14ac:dyDescent="0.25">
      <c r="A37" s="4" t="s">
        <v>93</v>
      </c>
      <c r="B37" s="15">
        <v>500</v>
      </c>
      <c r="C37" s="16">
        <f>B37*1.05</f>
        <v>525</v>
      </c>
    </row>
    <row r="38" spans="1:8" x14ac:dyDescent="0.25">
      <c r="A38" s="4" t="s">
        <v>108</v>
      </c>
      <c r="B38" s="15"/>
      <c r="C38" s="16">
        <v>100</v>
      </c>
    </row>
    <row r="39" spans="1:8" x14ac:dyDescent="0.25">
      <c r="A39" s="4"/>
      <c r="B39" s="5"/>
      <c r="C39" s="6"/>
    </row>
    <row r="40" spans="1:8" x14ac:dyDescent="0.25">
      <c r="A40" s="2" t="s">
        <v>5</v>
      </c>
      <c r="B40" s="10" t="s">
        <v>83</v>
      </c>
      <c r="C40" s="8" t="s">
        <v>92</v>
      </c>
      <c r="D40" s="2"/>
      <c r="E40" s="2"/>
      <c r="F40" s="2"/>
      <c r="G40" s="2"/>
      <c r="H40" s="2"/>
    </row>
    <row r="41" spans="1:8" x14ac:dyDescent="0.25">
      <c r="A41" s="1" t="s">
        <v>94</v>
      </c>
      <c r="B41" s="5">
        <v>1125.9585792000003</v>
      </c>
      <c r="C41" s="16">
        <f>B41*1.05</f>
        <v>1182.2565081600003</v>
      </c>
    </row>
    <row r="42" spans="1:8" x14ac:dyDescent="0.25">
      <c r="A42" s="1" t="s">
        <v>95</v>
      </c>
      <c r="B42" s="5">
        <v>1324.6571520000005</v>
      </c>
      <c r="C42" s="16">
        <f t="shared" ref="C42:C45" si="4">B42*1.05</f>
        <v>1390.8900096000004</v>
      </c>
    </row>
    <row r="43" spans="1:8" x14ac:dyDescent="0.25">
      <c r="A43" s="1" t="s">
        <v>106</v>
      </c>
      <c r="B43" s="5">
        <v>1391</v>
      </c>
      <c r="C43" s="16">
        <f t="shared" si="4"/>
        <v>1460.55</v>
      </c>
      <c r="D43" s="6"/>
    </row>
    <row r="44" spans="1:8" x14ac:dyDescent="0.25">
      <c r="A44" s="1" t="s">
        <v>107</v>
      </c>
      <c r="B44" s="7">
        <f>2.7633+0.2847</f>
        <v>3.048</v>
      </c>
      <c r="C44" s="6">
        <f t="shared" si="4"/>
        <v>3.2004000000000001</v>
      </c>
      <c r="D44" s="6"/>
    </row>
    <row r="45" spans="1:8" x14ac:dyDescent="0.25">
      <c r="A45" s="1" t="s">
        <v>7</v>
      </c>
      <c r="B45" s="3">
        <v>79.47942912000002</v>
      </c>
      <c r="C45" s="16">
        <f t="shared" si="4"/>
        <v>83.453400576000021</v>
      </c>
    </row>
    <row r="47" spans="1:8" x14ac:dyDescent="0.25">
      <c r="A47" s="2" t="s">
        <v>12</v>
      </c>
      <c r="B47" s="10" t="s">
        <v>83</v>
      </c>
      <c r="C47" s="8" t="s">
        <v>92</v>
      </c>
    </row>
    <row r="48" spans="1:8" x14ac:dyDescent="0.25">
      <c r="A48" s="1" t="s">
        <v>13</v>
      </c>
      <c r="B48" s="3">
        <v>2000</v>
      </c>
      <c r="C48" s="16">
        <f>B48*1.05</f>
        <v>2100</v>
      </c>
    </row>
    <row r="49" spans="1:3" x14ac:dyDescent="0.25">
      <c r="A49" s="1" t="s">
        <v>14</v>
      </c>
      <c r="B49" s="3">
        <v>3000</v>
      </c>
      <c r="C49" s="16">
        <f t="shared" ref="C49:C60" si="5">B49*1.05</f>
        <v>3150</v>
      </c>
    </row>
    <row r="50" spans="1:3" x14ac:dyDescent="0.25">
      <c r="A50" s="1" t="s">
        <v>15</v>
      </c>
      <c r="B50" s="7">
        <v>5</v>
      </c>
      <c r="C50" s="6">
        <f t="shared" si="5"/>
        <v>5.25</v>
      </c>
    </row>
    <row r="51" spans="1:3" x14ac:dyDescent="0.25">
      <c r="A51" s="1" t="s">
        <v>16</v>
      </c>
      <c r="B51" s="7">
        <v>4.9000000000000004</v>
      </c>
      <c r="C51" s="6">
        <f t="shared" si="5"/>
        <v>5.1450000000000005</v>
      </c>
    </row>
    <row r="52" spans="1:3" x14ac:dyDescent="0.25">
      <c r="A52" s="1" t="s">
        <v>17</v>
      </c>
      <c r="B52" s="7">
        <v>4.7</v>
      </c>
      <c r="C52" s="6">
        <f t="shared" si="5"/>
        <v>4.9350000000000005</v>
      </c>
    </row>
    <row r="53" spans="1:3" x14ac:dyDescent="0.25">
      <c r="A53" s="1" t="s">
        <v>18</v>
      </c>
      <c r="B53" s="7">
        <v>4.5</v>
      </c>
      <c r="C53" s="6">
        <f t="shared" si="5"/>
        <v>4.7250000000000005</v>
      </c>
    </row>
    <row r="54" spans="1:3" x14ac:dyDescent="0.25">
      <c r="A54" s="1" t="s">
        <v>19</v>
      </c>
      <c r="B54" s="7">
        <v>4.3</v>
      </c>
      <c r="C54" s="6">
        <f t="shared" si="5"/>
        <v>4.5149999999999997</v>
      </c>
    </row>
    <row r="55" spans="1:3" x14ac:dyDescent="0.25">
      <c r="A55" s="1" t="s">
        <v>20</v>
      </c>
      <c r="B55" s="7">
        <v>4.0999999999999996</v>
      </c>
      <c r="C55" s="6">
        <f t="shared" si="5"/>
        <v>4.3049999999999997</v>
      </c>
    </row>
    <row r="56" spans="1:3" x14ac:dyDescent="0.25">
      <c r="A56" s="1" t="s">
        <v>21</v>
      </c>
      <c r="B56" s="7">
        <v>4</v>
      </c>
      <c r="C56" s="6">
        <f t="shared" si="5"/>
        <v>4.2</v>
      </c>
    </row>
    <row r="57" spans="1:3" x14ac:dyDescent="0.25">
      <c r="A57" s="1" t="s">
        <v>22</v>
      </c>
      <c r="B57" s="7">
        <v>3.7</v>
      </c>
      <c r="C57" s="6">
        <f t="shared" si="5"/>
        <v>3.8850000000000002</v>
      </c>
    </row>
    <row r="58" spans="1:3" x14ac:dyDescent="0.25">
      <c r="A58" s="1" t="s">
        <v>23</v>
      </c>
      <c r="B58" s="7">
        <v>3.6</v>
      </c>
      <c r="C58" s="6">
        <f t="shared" si="5"/>
        <v>3.7800000000000002</v>
      </c>
    </row>
    <row r="59" spans="1:3" x14ac:dyDescent="0.25">
      <c r="A59" s="1" t="s">
        <v>24</v>
      </c>
      <c r="B59" s="7">
        <v>480</v>
      </c>
      <c r="C59" s="16">
        <f t="shared" si="5"/>
        <v>504</v>
      </c>
    </row>
    <row r="60" spans="1:3" x14ac:dyDescent="0.25">
      <c r="A60" s="1" t="s">
        <v>25</v>
      </c>
      <c r="B60" s="7">
        <v>150</v>
      </c>
      <c r="C60" s="16">
        <f t="shared" si="5"/>
        <v>157.5</v>
      </c>
    </row>
    <row r="61" spans="1:3" x14ac:dyDescent="0.25">
      <c r="B61" s="7"/>
    </row>
    <row r="62" spans="1:3" x14ac:dyDescent="0.25">
      <c r="A62" s="2" t="s">
        <v>26</v>
      </c>
      <c r="B62" s="10" t="s">
        <v>83</v>
      </c>
      <c r="C62" s="8" t="s">
        <v>92</v>
      </c>
    </row>
    <row r="63" spans="1:3" x14ac:dyDescent="0.25">
      <c r="A63" s="1" t="s">
        <v>27</v>
      </c>
      <c r="B63" s="3">
        <v>931.23397785600014</v>
      </c>
      <c r="C63" s="16">
        <f>B63*1.05</f>
        <v>977.79567674880013</v>
      </c>
    </row>
    <row r="64" spans="1:3" x14ac:dyDescent="0.25">
      <c r="A64" s="1" t="s">
        <v>28</v>
      </c>
      <c r="B64" s="3">
        <v>152.33557248000005</v>
      </c>
      <c r="C64" s="16">
        <f t="shared" ref="C64:C74" si="6">B64*1.05</f>
        <v>159.95235110400006</v>
      </c>
    </row>
    <row r="65" spans="1:3" x14ac:dyDescent="0.25">
      <c r="A65" s="1" t="s">
        <v>29</v>
      </c>
      <c r="B65" s="3">
        <v>835.85866291200023</v>
      </c>
      <c r="C65" s="16">
        <f t="shared" si="6"/>
        <v>877.65159605760027</v>
      </c>
    </row>
    <row r="66" spans="1:3" x14ac:dyDescent="0.25">
      <c r="A66" s="1" t="s">
        <v>30</v>
      </c>
      <c r="B66" s="3">
        <v>135.11502950400001</v>
      </c>
      <c r="C66" s="16">
        <f t="shared" si="6"/>
        <v>141.87078097920002</v>
      </c>
    </row>
    <row r="67" spans="1:3" x14ac:dyDescent="0.25">
      <c r="A67" s="1" t="s">
        <v>31</v>
      </c>
      <c r="B67" s="3">
        <v>751.08060518400032</v>
      </c>
      <c r="C67" s="16">
        <f t="shared" si="6"/>
        <v>788.63463544320041</v>
      </c>
    </row>
    <row r="68" spans="1:3" x14ac:dyDescent="0.25">
      <c r="A68" s="1" t="s">
        <v>32</v>
      </c>
      <c r="B68" s="3">
        <v>121.86845798400003</v>
      </c>
      <c r="C68" s="16">
        <f t="shared" si="6"/>
        <v>127.96188088320004</v>
      </c>
    </row>
    <row r="69" spans="1:3" x14ac:dyDescent="0.25">
      <c r="A69" s="1" t="s">
        <v>33</v>
      </c>
      <c r="B69" s="3">
        <v>1862</v>
      </c>
      <c r="C69" s="16">
        <f t="shared" si="6"/>
        <v>1955.1000000000001</v>
      </c>
    </row>
    <row r="70" spans="1:3" x14ac:dyDescent="0.25">
      <c r="A70" s="1" t="s">
        <v>34</v>
      </c>
      <c r="B70" s="3">
        <v>233.13965875200003</v>
      </c>
      <c r="C70" s="16">
        <f t="shared" si="6"/>
        <v>244.79664168960005</v>
      </c>
    </row>
    <row r="71" spans="1:3" x14ac:dyDescent="0.25">
      <c r="A71" s="1" t="s">
        <v>35</v>
      </c>
      <c r="B71" s="3">
        <v>1672</v>
      </c>
      <c r="C71" s="16">
        <f t="shared" si="6"/>
        <v>1755.6000000000001</v>
      </c>
    </row>
    <row r="72" spans="1:3" x14ac:dyDescent="0.25">
      <c r="A72" s="1" t="s">
        <v>36</v>
      </c>
      <c r="B72" s="3">
        <v>209</v>
      </c>
      <c r="C72" s="16">
        <f t="shared" si="6"/>
        <v>219.45000000000002</v>
      </c>
    </row>
    <row r="73" spans="1:3" x14ac:dyDescent="0.25">
      <c r="A73" s="1" t="s">
        <v>37</v>
      </c>
      <c r="B73" s="3">
        <v>1444</v>
      </c>
      <c r="C73" s="16">
        <f t="shared" si="6"/>
        <v>1516.2</v>
      </c>
    </row>
    <row r="74" spans="1:3" x14ac:dyDescent="0.25">
      <c r="A74" s="1" t="s">
        <v>38</v>
      </c>
      <c r="B74" s="3">
        <v>189.42597273600003</v>
      </c>
      <c r="C74" s="16">
        <f t="shared" si="6"/>
        <v>198.89727137280005</v>
      </c>
    </row>
    <row r="76" spans="1:3" x14ac:dyDescent="0.25">
      <c r="A76" s="2" t="s">
        <v>39</v>
      </c>
      <c r="B76" s="10" t="s">
        <v>83</v>
      </c>
      <c r="C76" s="8" t="s">
        <v>92</v>
      </c>
    </row>
    <row r="77" spans="1:3" x14ac:dyDescent="0.25">
      <c r="A77" s="1" t="s">
        <v>96</v>
      </c>
      <c r="B77" s="3">
        <v>1458.33</v>
      </c>
      <c r="C77" s="16">
        <f t="shared" ref="C77:C80" si="7">B77*1.05</f>
        <v>1531.2465</v>
      </c>
    </row>
    <row r="78" spans="1:3" x14ac:dyDescent="0.25">
      <c r="A78" s="1" t="s">
        <v>2</v>
      </c>
      <c r="B78" s="3">
        <v>204</v>
      </c>
      <c r="C78" s="16">
        <f t="shared" si="7"/>
        <v>214.20000000000002</v>
      </c>
    </row>
    <row r="79" spans="1:3" x14ac:dyDescent="0.25">
      <c r="A79" s="1" t="s">
        <v>40</v>
      </c>
      <c r="B79" s="3">
        <v>2916.66</v>
      </c>
      <c r="C79" s="16">
        <f t="shared" si="7"/>
        <v>3062.4929999999999</v>
      </c>
    </row>
    <row r="80" spans="1:3" x14ac:dyDescent="0.25">
      <c r="A80" s="1" t="s">
        <v>41</v>
      </c>
      <c r="B80" s="3">
        <v>364.68</v>
      </c>
      <c r="C80" s="16">
        <f t="shared" si="7"/>
        <v>382.91400000000004</v>
      </c>
    </row>
    <row r="82" spans="1:9" x14ac:dyDescent="0.25">
      <c r="A82" s="2" t="s">
        <v>42</v>
      </c>
      <c r="B82" s="10" t="s">
        <v>83</v>
      </c>
      <c r="C82" s="8" t="s">
        <v>92</v>
      </c>
    </row>
    <row r="83" spans="1:9" x14ac:dyDescent="0.25">
      <c r="A83" s="1" t="s">
        <v>43</v>
      </c>
      <c r="B83" s="3">
        <v>924.83389440000008</v>
      </c>
      <c r="C83" s="16">
        <f t="shared" ref="C83:C87" si="8">B83*1.05</f>
        <v>971.07558912000013</v>
      </c>
    </row>
    <row r="84" spans="1:9" x14ac:dyDescent="0.25">
      <c r="A84" s="1" t="s">
        <v>44</v>
      </c>
      <c r="B84" s="3">
        <v>135.11017728000002</v>
      </c>
      <c r="C84" s="16">
        <f t="shared" si="8"/>
        <v>141.86568614400002</v>
      </c>
    </row>
    <row r="85" spans="1:9" x14ac:dyDescent="0.25">
      <c r="A85" s="1" t="s">
        <v>45</v>
      </c>
      <c r="B85" s="3">
        <v>233.13723264000004</v>
      </c>
      <c r="C85" s="16">
        <f t="shared" si="8"/>
        <v>244.79409427200005</v>
      </c>
    </row>
    <row r="86" spans="1:9" x14ac:dyDescent="0.25">
      <c r="A86" s="1" t="s">
        <v>46</v>
      </c>
      <c r="B86" s="3">
        <v>1671.5911680000004</v>
      </c>
      <c r="C86" s="16">
        <f t="shared" si="8"/>
        <v>1755.1707264000004</v>
      </c>
      <c r="I86" s="1">
        <f>12*142</f>
        <v>1704</v>
      </c>
    </row>
    <row r="87" spans="1:9" x14ac:dyDescent="0.25">
      <c r="A87" s="1" t="s">
        <v>47</v>
      </c>
      <c r="B87" s="3">
        <v>233.13723264000004</v>
      </c>
      <c r="C87" s="16">
        <f t="shared" si="8"/>
        <v>244.79409427200005</v>
      </c>
    </row>
    <row r="89" spans="1:9" x14ac:dyDescent="0.25">
      <c r="A89" s="2" t="s">
        <v>97</v>
      </c>
      <c r="B89" s="10" t="s">
        <v>83</v>
      </c>
      <c r="C89" s="8" t="s">
        <v>92</v>
      </c>
    </row>
    <row r="90" spans="1:9" x14ac:dyDescent="0.25">
      <c r="A90" s="1" t="s">
        <v>48</v>
      </c>
      <c r="B90" s="3">
        <v>1145</v>
      </c>
      <c r="C90" s="16">
        <f>B90*1.05</f>
        <v>1202.25</v>
      </c>
    </row>
    <row r="91" spans="1:9" x14ac:dyDescent="0.25">
      <c r="A91" s="1" t="s">
        <v>49</v>
      </c>
      <c r="B91" s="3">
        <v>194.4</v>
      </c>
      <c r="C91" s="16">
        <f t="shared" ref="C91:C96" si="9">B91*1.05</f>
        <v>204.12</v>
      </c>
    </row>
    <row r="92" spans="1:9" x14ac:dyDescent="0.25">
      <c r="A92" s="1" t="s">
        <v>50</v>
      </c>
      <c r="B92" s="3">
        <v>200</v>
      </c>
      <c r="C92" s="16">
        <f t="shared" si="9"/>
        <v>210</v>
      </c>
    </row>
    <row r="93" spans="1:9" hidden="1" x14ac:dyDescent="0.25">
      <c r="A93" s="1" t="s">
        <v>51</v>
      </c>
      <c r="B93" s="3">
        <v>2290</v>
      </c>
      <c r="C93" s="16">
        <f t="shared" si="9"/>
        <v>2404.5</v>
      </c>
    </row>
    <row r="94" spans="1:9" x14ac:dyDescent="0.25">
      <c r="A94" s="1" t="s">
        <v>52</v>
      </c>
      <c r="B94" s="3">
        <v>713</v>
      </c>
      <c r="C94" s="16">
        <f t="shared" si="9"/>
        <v>748.65</v>
      </c>
    </row>
    <row r="95" spans="1:9" x14ac:dyDescent="0.25">
      <c r="A95" s="1" t="s">
        <v>53</v>
      </c>
      <c r="B95" s="3">
        <v>118.8</v>
      </c>
      <c r="C95" s="16">
        <f t="shared" si="9"/>
        <v>124.74000000000001</v>
      </c>
    </row>
    <row r="96" spans="1:9" x14ac:dyDescent="0.25">
      <c r="A96" s="1" t="s">
        <v>54</v>
      </c>
      <c r="B96" s="3">
        <v>100</v>
      </c>
      <c r="C96" s="16">
        <f t="shared" si="9"/>
        <v>105</v>
      </c>
    </row>
    <row r="97" spans="1:4" hidden="1" x14ac:dyDescent="0.25">
      <c r="A97" s="1" t="s">
        <v>55</v>
      </c>
      <c r="B97" s="3">
        <v>1426</v>
      </c>
    </row>
    <row r="99" spans="1:4" x14ac:dyDescent="0.25">
      <c r="A99" s="2" t="s">
        <v>57</v>
      </c>
      <c r="B99" s="10" t="s">
        <v>83</v>
      </c>
      <c r="C99" s="8" t="s">
        <v>92</v>
      </c>
    </row>
    <row r="100" spans="1:4" x14ac:dyDescent="0.25">
      <c r="A100" s="1" t="s">
        <v>100</v>
      </c>
      <c r="B100" s="17">
        <v>651</v>
      </c>
      <c r="C100" s="22">
        <f t="shared" ref="C100:C117" si="10">B100*1.05</f>
        <v>683.55000000000007</v>
      </c>
      <c r="D100" s="1" t="s">
        <v>231</v>
      </c>
    </row>
    <row r="101" spans="1:4" x14ac:dyDescent="0.25">
      <c r="A101" s="1" t="s">
        <v>101</v>
      </c>
      <c r="B101" s="17">
        <v>812</v>
      </c>
      <c r="C101" s="22">
        <f t="shared" si="10"/>
        <v>852.6</v>
      </c>
      <c r="D101" s="1" t="s">
        <v>231</v>
      </c>
    </row>
    <row r="102" spans="1:4" x14ac:dyDescent="0.25">
      <c r="A102" s="1" t="s">
        <v>103</v>
      </c>
      <c r="B102" s="17">
        <v>837</v>
      </c>
      <c r="C102" s="22">
        <f t="shared" ref="C102" si="11">B102*1.05</f>
        <v>878.85</v>
      </c>
      <c r="D102" s="1" t="s">
        <v>231</v>
      </c>
    </row>
    <row r="103" spans="1:4" x14ac:dyDescent="0.25">
      <c r="A103" s="1" t="s">
        <v>102</v>
      </c>
      <c r="B103" s="17"/>
      <c r="C103" s="6"/>
    </row>
    <row r="104" spans="1:4" x14ac:dyDescent="0.25">
      <c r="A104" s="1" t="s">
        <v>58</v>
      </c>
      <c r="B104" s="3">
        <v>650.61045504000015</v>
      </c>
      <c r="C104" s="6">
        <f t="shared" si="10"/>
        <v>683.14097779200017</v>
      </c>
    </row>
    <row r="105" spans="1:4" x14ac:dyDescent="0.25">
      <c r="A105" s="1" t="s">
        <v>59</v>
      </c>
      <c r="B105" s="7">
        <v>3.4608487680000009</v>
      </c>
      <c r="C105" s="6">
        <f t="shared" si="10"/>
        <v>3.6338912064000009</v>
      </c>
    </row>
    <row r="106" spans="1:4" x14ac:dyDescent="0.25">
      <c r="A106" s="1" t="s">
        <v>60</v>
      </c>
      <c r="B106" s="7">
        <v>2.7900288</v>
      </c>
      <c r="C106" s="6">
        <f t="shared" si="10"/>
        <v>2.9295302400000001</v>
      </c>
    </row>
    <row r="107" spans="1:4" x14ac:dyDescent="0.25">
      <c r="A107" s="1" t="s">
        <v>61</v>
      </c>
      <c r="B107" s="7">
        <v>2.5571220480000005</v>
      </c>
      <c r="C107" s="6">
        <f t="shared" si="10"/>
        <v>2.6849781504000005</v>
      </c>
    </row>
    <row r="108" spans="1:4" x14ac:dyDescent="0.25">
      <c r="A108" s="1" t="s">
        <v>62</v>
      </c>
      <c r="B108" s="7">
        <v>2.3436241920000005</v>
      </c>
      <c r="C108" s="6">
        <f t="shared" si="10"/>
        <v>2.4608054016000005</v>
      </c>
    </row>
    <row r="109" spans="1:4" x14ac:dyDescent="0.25">
      <c r="A109" s="1" t="s">
        <v>63</v>
      </c>
      <c r="B109" s="7">
        <v>2.3035933440000003</v>
      </c>
      <c r="C109" s="6">
        <f t="shared" si="10"/>
        <v>2.4187730112000003</v>
      </c>
    </row>
    <row r="110" spans="1:4" x14ac:dyDescent="0.25">
      <c r="A110" s="1" t="s">
        <v>64</v>
      </c>
      <c r="B110" s="7">
        <v>2.2720538880000003</v>
      </c>
      <c r="C110" s="6">
        <f t="shared" si="10"/>
        <v>2.3856565824000002</v>
      </c>
    </row>
    <row r="111" spans="1:4" x14ac:dyDescent="0.25">
      <c r="A111" s="1" t="s">
        <v>65</v>
      </c>
      <c r="B111" s="7">
        <v>2.1932052480000004</v>
      </c>
      <c r="C111" s="6">
        <f t="shared" si="10"/>
        <v>2.3028655104000006</v>
      </c>
    </row>
    <row r="112" spans="1:4" x14ac:dyDescent="0.25">
      <c r="A112" s="1" t="s">
        <v>66</v>
      </c>
      <c r="B112" s="3">
        <v>370.90400256000004</v>
      </c>
      <c r="C112" s="22">
        <f t="shared" si="10"/>
        <v>389.44920268800007</v>
      </c>
      <c r="D112" s="1" t="s">
        <v>231</v>
      </c>
    </row>
    <row r="113" spans="1:4" x14ac:dyDescent="0.25">
      <c r="A113" s="1" t="s">
        <v>98</v>
      </c>
      <c r="B113" s="3">
        <v>331</v>
      </c>
      <c r="C113" s="22">
        <f t="shared" ref="C113" si="12">B113*1.05</f>
        <v>347.55</v>
      </c>
      <c r="D113" s="1" t="s">
        <v>231</v>
      </c>
    </row>
    <row r="114" spans="1:4" x14ac:dyDescent="0.25">
      <c r="A114" s="1" t="s">
        <v>99</v>
      </c>
      <c r="B114" s="3">
        <v>144</v>
      </c>
      <c r="C114" s="22">
        <f t="shared" ref="C114" si="13">B114*1.05</f>
        <v>151.20000000000002</v>
      </c>
      <c r="D114" s="1" t="s">
        <v>231</v>
      </c>
    </row>
    <row r="115" spans="1:4" x14ac:dyDescent="0.25">
      <c r="A115" s="1" t="s">
        <v>67</v>
      </c>
      <c r="B115" s="3">
        <v>377.52728832000008</v>
      </c>
      <c r="C115" s="22">
        <f t="shared" si="10"/>
        <v>396.40365273600008</v>
      </c>
      <c r="D115" s="1" t="s">
        <v>231</v>
      </c>
    </row>
    <row r="116" spans="1:4" x14ac:dyDescent="0.25">
      <c r="A116" s="1" t="s">
        <v>74</v>
      </c>
      <c r="B116" s="3">
        <v>725</v>
      </c>
      <c r="C116" s="6">
        <v>725.25</v>
      </c>
    </row>
    <row r="117" spans="1:4" x14ac:dyDescent="0.25">
      <c r="A117" s="1" t="s">
        <v>68</v>
      </c>
      <c r="B117" s="3">
        <v>315.39456000000007</v>
      </c>
      <c r="C117" s="22">
        <f t="shared" si="10"/>
        <v>331.16428800000011</v>
      </c>
      <c r="D117" s="1" t="s">
        <v>231</v>
      </c>
    </row>
    <row r="119" spans="1:4" ht="15.6" customHeight="1" x14ac:dyDescent="0.25">
      <c r="A119" s="2" t="s">
        <v>105</v>
      </c>
      <c r="B119" s="10" t="s">
        <v>83</v>
      </c>
      <c r="C119" s="8" t="s">
        <v>92</v>
      </c>
    </row>
    <row r="120" spans="1:4" ht="15.6" customHeight="1" x14ac:dyDescent="0.25">
      <c r="A120" s="19" t="s">
        <v>109</v>
      </c>
      <c r="B120" s="3">
        <v>1640.0517120000002</v>
      </c>
      <c r="C120" s="16">
        <f t="shared" ref="C120:C189" si="14">B120*1.05</f>
        <v>1722.0542976000002</v>
      </c>
    </row>
    <row r="121" spans="1:4" ht="15.6" customHeight="1" x14ac:dyDescent="0.25">
      <c r="A121" s="19" t="s">
        <v>110</v>
      </c>
      <c r="B121" s="3">
        <v>7821.7850880000005</v>
      </c>
      <c r="C121" s="16">
        <f t="shared" si="14"/>
        <v>8212.8743424000004</v>
      </c>
    </row>
    <row r="122" spans="1:4" ht="15.6" customHeight="1" x14ac:dyDescent="0.25">
      <c r="A122" s="19" t="s">
        <v>111</v>
      </c>
      <c r="B122" s="3">
        <v>1387.7360640000002</v>
      </c>
      <c r="C122" s="16">
        <f t="shared" si="14"/>
        <v>1457.1228672000002</v>
      </c>
    </row>
    <row r="123" spans="1:4" ht="15.6" customHeight="1" x14ac:dyDescent="0.25">
      <c r="A123" s="19" t="s">
        <v>112</v>
      </c>
      <c r="B123" s="3">
        <v>883.10476800000015</v>
      </c>
      <c r="C123" s="16">
        <f t="shared" si="14"/>
        <v>927.26000640000018</v>
      </c>
    </row>
    <row r="124" spans="1:4" ht="15.6" customHeight="1" x14ac:dyDescent="0.25">
      <c r="A124" s="19" t="s">
        <v>113</v>
      </c>
      <c r="B124" s="3">
        <v>946.18368000000021</v>
      </c>
      <c r="C124" s="16">
        <f t="shared" si="14"/>
        <v>993.49286400000028</v>
      </c>
    </row>
    <row r="125" spans="1:4" ht="15.6" customHeight="1" x14ac:dyDescent="0.25">
      <c r="A125" s="25" t="s">
        <v>212</v>
      </c>
      <c r="B125" s="21">
        <v>1795</v>
      </c>
      <c r="C125" s="22">
        <v>1885</v>
      </c>
      <c r="D125" s="1" t="s">
        <v>211</v>
      </c>
    </row>
    <row r="126" spans="1:4" ht="15.6" customHeight="1" x14ac:dyDescent="0.25">
      <c r="A126" s="25" t="s">
        <v>114</v>
      </c>
      <c r="B126" s="21">
        <v>820.02585600000009</v>
      </c>
      <c r="C126" s="22">
        <f t="shared" si="14"/>
        <v>861.02714880000008</v>
      </c>
      <c r="D126" s="1" t="s">
        <v>211</v>
      </c>
    </row>
    <row r="127" spans="1:4" ht="15.6" customHeight="1" x14ac:dyDescent="0.25">
      <c r="A127" s="19" t="s">
        <v>115</v>
      </c>
      <c r="B127" s="3">
        <v>1009.2625920000002</v>
      </c>
      <c r="C127" s="16">
        <f t="shared" si="14"/>
        <v>1059.7257216000003</v>
      </c>
    </row>
    <row r="128" spans="1:4" ht="15.6" customHeight="1" x14ac:dyDescent="0.25">
      <c r="A128" s="19" t="s">
        <v>116</v>
      </c>
      <c r="B128" s="3">
        <v>1513.8938880000003</v>
      </c>
      <c r="C128" s="16">
        <f t="shared" si="14"/>
        <v>1589.5885824000004</v>
      </c>
    </row>
    <row r="129" spans="1:4" ht="15.6" customHeight="1" x14ac:dyDescent="0.25">
      <c r="A129" s="19" t="s">
        <v>117</v>
      </c>
      <c r="B129" s="3">
        <v>1198.4993280000001</v>
      </c>
      <c r="C129" s="16">
        <f t="shared" si="14"/>
        <v>1258.4242944000002</v>
      </c>
    </row>
    <row r="130" spans="1:4" ht="15.6" customHeight="1" x14ac:dyDescent="0.25">
      <c r="A130" s="19" t="s">
        <v>118</v>
      </c>
      <c r="B130" s="3">
        <v>7569.4694400000017</v>
      </c>
      <c r="C130" s="16">
        <f t="shared" si="14"/>
        <v>7947.9429120000023</v>
      </c>
    </row>
    <row r="131" spans="1:4" ht="15.6" customHeight="1" x14ac:dyDescent="0.25">
      <c r="A131" s="19" t="s">
        <v>119</v>
      </c>
      <c r="B131" s="3">
        <v>9840.3102720000006</v>
      </c>
      <c r="C131" s="16">
        <f t="shared" si="14"/>
        <v>10332.325785600002</v>
      </c>
    </row>
    <row r="132" spans="1:4" ht="15.6" customHeight="1" x14ac:dyDescent="0.25">
      <c r="A132" s="19" t="s">
        <v>120</v>
      </c>
      <c r="B132" s="3">
        <v>1640.0517120000002</v>
      </c>
      <c r="C132" s="16">
        <f t="shared" si="14"/>
        <v>1722.0542976000002</v>
      </c>
    </row>
    <row r="133" spans="1:4" ht="15.6" customHeight="1" x14ac:dyDescent="0.25">
      <c r="A133" s="19" t="s">
        <v>121</v>
      </c>
      <c r="B133" s="3">
        <v>946.18368000000021</v>
      </c>
      <c r="C133" s="16">
        <f t="shared" si="14"/>
        <v>993.49286400000028</v>
      </c>
    </row>
    <row r="134" spans="1:4" ht="15.6" customHeight="1" x14ac:dyDescent="0.25">
      <c r="A134" s="19" t="s">
        <v>122</v>
      </c>
      <c r="B134" s="3">
        <v>2901.6299520000007</v>
      </c>
      <c r="C134" s="16">
        <f t="shared" si="14"/>
        <v>3046.7114496000008</v>
      </c>
    </row>
    <row r="135" spans="1:4" ht="15.6" customHeight="1" x14ac:dyDescent="0.25">
      <c r="A135" s="19" t="s">
        <v>123</v>
      </c>
      <c r="B135" s="3">
        <v>1009.2625920000002</v>
      </c>
      <c r="C135" s="16">
        <f t="shared" si="14"/>
        <v>1059.7257216000003</v>
      </c>
    </row>
    <row r="136" spans="1:4" ht="15.6" customHeight="1" x14ac:dyDescent="0.25">
      <c r="A136" s="19" t="s">
        <v>124</v>
      </c>
      <c r="B136" s="3">
        <v>4415.5238400000007</v>
      </c>
      <c r="C136" s="16">
        <f t="shared" si="14"/>
        <v>4636.300032000001</v>
      </c>
    </row>
    <row r="137" spans="1:4" ht="15.6" customHeight="1" x14ac:dyDescent="0.25">
      <c r="A137" s="19" t="s">
        <v>125</v>
      </c>
      <c r="B137" s="3">
        <v>1261.5782400000003</v>
      </c>
      <c r="C137" s="16">
        <f t="shared" si="14"/>
        <v>1324.6571520000005</v>
      </c>
    </row>
    <row r="138" spans="1:4" ht="15.6" customHeight="1" x14ac:dyDescent="0.25">
      <c r="A138" s="19" t="s">
        <v>126</v>
      </c>
      <c r="B138" s="3">
        <v>1387.7360640000002</v>
      </c>
      <c r="C138" s="16">
        <f t="shared" si="14"/>
        <v>1457.1228672000002</v>
      </c>
    </row>
    <row r="139" spans="1:4" ht="15.6" customHeight="1" x14ac:dyDescent="0.25">
      <c r="A139" s="19" t="s">
        <v>127</v>
      </c>
      <c r="B139" s="3">
        <v>1576.9728000000002</v>
      </c>
      <c r="C139" s="16">
        <f t="shared" si="14"/>
        <v>1655.8214400000004</v>
      </c>
    </row>
    <row r="140" spans="1:4" ht="15.6" customHeight="1" x14ac:dyDescent="0.25">
      <c r="A140" s="19" t="s">
        <v>128</v>
      </c>
      <c r="B140" s="3">
        <v>3280.1034240000004</v>
      </c>
      <c r="C140" s="16">
        <f t="shared" si="14"/>
        <v>3444.1085952000003</v>
      </c>
    </row>
    <row r="141" spans="1:4" ht="15.6" customHeight="1" x14ac:dyDescent="0.25">
      <c r="A141" s="25" t="s">
        <v>213</v>
      </c>
      <c r="B141" s="21">
        <v>946</v>
      </c>
      <c r="C141" s="22">
        <f t="shared" si="14"/>
        <v>993.30000000000007</v>
      </c>
      <c r="D141" s="1" t="s">
        <v>211</v>
      </c>
    </row>
    <row r="142" spans="1:4" ht="15.6" customHeight="1" x14ac:dyDescent="0.25">
      <c r="A142" s="25" t="s">
        <v>214</v>
      </c>
      <c r="B142" s="21">
        <v>10356</v>
      </c>
      <c r="C142" s="22">
        <f t="shared" si="14"/>
        <v>10873.800000000001</v>
      </c>
      <c r="D142" s="1" t="s">
        <v>211</v>
      </c>
    </row>
    <row r="143" spans="1:4" ht="15.6" customHeight="1" x14ac:dyDescent="0.25">
      <c r="A143" s="19" t="s">
        <v>129</v>
      </c>
      <c r="B143" s="3">
        <v>1766.2095360000003</v>
      </c>
      <c r="C143" s="16">
        <f t="shared" si="14"/>
        <v>1854.5200128000004</v>
      </c>
    </row>
    <row r="144" spans="1:4" ht="15.6" customHeight="1" x14ac:dyDescent="0.25">
      <c r="A144" s="19" t="s">
        <v>130</v>
      </c>
      <c r="B144" s="3">
        <v>1766.2095360000003</v>
      </c>
      <c r="C144" s="16">
        <f t="shared" si="14"/>
        <v>1854.5200128000004</v>
      </c>
    </row>
    <row r="145" spans="1:3" ht="15.6" customHeight="1" x14ac:dyDescent="0.25">
      <c r="A145" s="19" t="s">
        <v>131</v>
      </c>
      <c r="B145" s="3">
        <v>3536.0582400000003</v>
      </c>
      <c r="C145" s="16">
        <f t="shared" si="14"/>
        <v>3712.8611520000004</v>
      </c>
    </row>
    <row r="146" spans="1:3" ht="15.6" customHeight="1" x14ac:dyDescent="0.25">
      <c r="A146" s="19" t="s">
        <v>132</v>
      </c>
      <c r="B146" s="3">
        <v>756.94694400000014</v>
      </c>
      <c r="C146" s="16">
        <f t="shared" si="14"/>
        <v>794.7942912000002</v>
      </c>
    </row>
    <row r="147" spans="1:3" ht="15.6" customHeight="1" x14ac:dyDescent="0.25">
      <c r="A147" s="19" t="s">
        <v>133</v>
      </c>
      <c r="B147" s="3">
        <v>1576.9728000000002</v>
      </c>
      <c r="C147" s="16">
        <f t="shared" si="14"/>
        <v>1655.8214400000004</v>
      </c>
    </row>
    <row r="148" spans="1:3" ht="15.6" customHeight="1" x14ac:dyDescent="0.25">
      <c r="A148" s="19" t="s">
        <v>134</v>
      </c>
      <c r="B148" s="3">
        <v>1513.8938880000003</v>
      </c>
      <c r="C148" s="16">
        <f t="shared" si="14"/>
        <v>1589.5885824000004</v>
      </c>
    </row>
    <row r="149" spans="1:3" ht="15.6" customHeight="1" x14ac:dyDescent="0.25">
      <c r="A149" s="19" t="s">
        <v>135</v>
      </c>
      <c r="B149" s="3">
        <v>5046.3129600000011</v>
      </c>
      <c r="C149" s="16">
        <f t="shared" si="14"/>
        <v>5298.6286080000018</v>
      </c>
    </row>
    <row r="150" spans="1:3" ht="15.6" customHeight="1" x14ac:dyDescent="0.25">
      <c r="A150" s="19" t="s">
        <v>136</v>
      </c>
      <c r="B150" s="3">
        <v>6307.8912000000009</v>
      </c>
      <c r="C150" s="16">
        <f t="shared" si="14"/>
        <v>6623.2857600000016</v>
      </c>
    </row>
    <row r="151" spans="1:3" ht="15.6" customHeight="1" x14ac:dyDescent="0.25">
      <c r="A151" s="19" t="s">
        <v>137</v>
      </c>
      <c r="B151" s="3">
        <v>4163.208192000001</v>
      </c>
      <c r="C151" s="16">
        <f t="shared" si="14"/>
        <v>4371.3686016000011</v>
      </c>
    </row>
    <row r="152" spans="1:3" ht="15.6" customHeight="1" x14ac:dyDescent="0.25">
      <c r="A152" s="19" t="s">
        <v>138</v>
      </c>
      <c r="B152" s="3">
        <v>1387.7360640000002</v>
      </c>
      <c r="C152" s="16">
        <f t="shared" si="14"/>
        <v>1457.1228672000002</v>
      </c>
    </row>
    <row r="153" spans="1:3" ht="15.6" customHeight="1" x14ac:dyDescent="0.25">
      <c r="A153" s="19" t="s">
        <v>139</v>
      </c>
      <c r="B153" s="3">
        <v>1072.3415040000002</v>
      </c>
      <c r="C153" s="16">
        <f t="shared" si="14"/>
        <v>1125.9585792000003</v>
      </c>
    </row>
    <row r="154" spans="1:3" ht="15.6" customHeight="1" x14ac:dyDescent="0.25">
      <c r="A154" s="19" t="s">
        <v>140</v>
      </c>
      <c r="B154" s="3">
        <v>1072.3415040000002</v>
      </c>
      <c r="C154" s="16">
        <f t="shared" si="14"/>
        <v>1125.9585792000003</v>
      </c>
    </row>
    <row r="155" spans="1:3" ht="15.6" customHeight="1" x14ac:dyDescent="0.25">
      <c r="A155" s="19" t="s">
        <v>141</v>
      </c>
      <c r="B155" s="3">
        <v>1009.2625920000002</v>
      </c>
      <c r="C155" s="16">
        <f t="shared" si="14"/>
        <v>1059.7257216000003</v>
      </c>
    </row>
    <row r="156" spans="1:3" ht="15.6" customHeight="1" x14ac:dyDescent="0.25">
      <c r="A156" s="19" t="s">
        <v>142</v>
      </c>
      <c r="B156" s="3">
        <v>1198.4993280000001</v>
      </c>
      <c r="C156" s="16">
        <f t="shared" si="14"/>
        <v>1258.4242944000002</v>
      </c>
    </row>
    <row r="157" spans="1:3" ht="15.6" customHeight="1" x14ac:dyDescent="0.25">
      <c r="A157" s="19" t="s">
        <v>143</v>
      </c>
      <c r="B157" s="3">
        <v>1261.5782400000003</v>
      </c>
      <c r="C157" s="16">
        <f t="shared" si="14"/>
        <v>1324.6571520000005</v>
      </c>
    </row>
    <row r="158" spans="1:3" ht="15.6" customHeight="1" x14ac:dyDescent="0.25">
      <c r="A158" s="19" t="s">
        <v>144</v>
      </c>
      <c r="B158" s="3">
        <v>3027.7877760000006</v>
      </c>
      <c r="C158" s="16">
        <f t="shared" si="14"/>
        <v>3179.1771648000008</v>
      </c>
    </row>
    <row r="159" spans="1:3" ht="15.6" customHeight="1" x14ac:dyDescent="0.25">
      <c r="A159" s="19" t="s">
        <v>145</v>
      </c>
      <c r="B159" s="3">
        <v>1387.7360640000002</v>
      </c>
      <c r="C159" s="16">
        <f t="shared" si="14"/>
        <v>1457.1228672000002</v>
      </c>
    </row>
    <row r="160" spans="1:3" ht="15.6" customHeight="1" x14ac:dyDescent="0.25">
      <c r="A160" s="19" t="s">
        <v>146</v>
      </c>
      <c r="B160" s="3">
        <v>3784.7347200000008</v>
      </c>
      <c r="C160" s="16">
        <f t="shared" si="14"/>
        <v>3973.9714560000011</v>
      </c>
    </row>
    <row r="161" spans="1:4" ht="15.6" customHeight="1" x14ac:dyDescent="0.25">
      <c r="A161" s="19" t="s">
        <v>147</v>
      </c>
      <c r="B161" s="3">
        <v>1387.7360640000002</v>
      </c>
      <c r="C161" s="16">
        <f t="shared" si="14"/>
        <v>1457.1228672000002</v>
      </c>
    </row>
    <row r="162" spans="1:4" ht="15.6" customHeight="1" x14ac:dyDescent="0.25">
      <c r="A162" s="19" t="s">
        <v>148</v>
      </c>
      <c r="B162" s="3">
        <v>1513.8938880000003</v>
      </c>
      <c r="C162" s="16">
        <f t="shared" si="14"/>
        <v>1589.5885824000004</v>
      </c>
    </row>
    <row r="163" spans="1:4" ht="15.6" customHeight="1" x14ac:dyDescent="0.25">
      <c r="A163" s="19" t="s">
        <v>149</v>
      </c>
      <c r="B163" s="3">
        <v>2270.8408320000008</v>
      </c>
      <c r="C163" s="16">
        <f t="shared" si="14"/>
        <v>2384.3828736000009</v>
      </c>
    </row>
    <row r="164" spans="1:4" ht="15.6" customHeight="1" x14ac:dyDescent="0.25">
      <c r="A164" s="19" t="s">
        <v>150</v>
      </c>
      <c r="B164" s="3">
        <v>2144.6830080000004</v>
      </c>
      <c r="C164" s="16">
        <f t="shared" si="14"/>
        <v>2251.9171584000005</v>
      </c>
    </row>
    <row r="165" spans="1:4" ht="15.6" customHeight="1" x14ac:dyDescent="0.25">
      <c r="A165" s="19" t="s">
        <v>151</v>
      </c>
      <c r="B165" s="3">
        <v>8371.8332006400015</v>
      </c>
      <c r="C165" s="16">
        <f t="shared" si="14"/>
        <v>8790.4248606720012</v>
      </c>
    </row>
    <row r="166" spans="1:4" ht="15.6" customHeight="1" x14ac:dyDescent="0.25">
      <c r="A166" s="19" t="s">
        <v>152</v>
      </c>
      <c r="B166" s="3">
        <v>3411.0649497600002</v>
      </c>
      <c r="C166" s="16">
        <f t="shared" si="14"/>
        <v>3581.6181972480003</v>
      </c>
    </row>
    <row r="167" spans="1:4" ht="15.6" customHeight="1" x14ac:dyDescent="0.25">
      <c r="A167" s="19" t="s">
        <v>153</v>
      </c>
      <c r="B167" s="3">
        <v>1513.8938880000003</v>
      </c>
      <c r="C167" s="16">
        <f t="shared" si="14"/>
        <v>1589.5885824000004</v>
      </c>
    </row>
    <row r="168" spans="1:4" ht="15.6" customHeight="1" x14ac:dyDescent="0.25">
      <c r="A168" s="19" t="s">
        <v>154</v>
      </c>
      <c r="B168" s="3">
        <v>1576.9728000000002</v>
      </c>
      <c r="C168" s="16">
        <f t="shared" si="14"/>
        <v>1655.8214400000004</v>
      </c>
    </row>
    <row r="169" spans="1:4" ht="15.6" customHeight="1" x14ac:dyDescent="0.25">
      <c r="A169" s="19" t="s">
        <v>155</v>
      </c>
      <c r="B169" s="3">
        <v>4289.3660160000009</v>
      </c>
      <c r="C169" s="16">
        <f t="shared" si="14"/>
        <v>4503.834316800001</v>
      </c>
    </row>
    <row r="170" spans="1:4" ht="15.6" customHeight="1" x14ac:dyDescent="0.25">
      <c r="A170" s="19" t="s">
        <v>156</v>
      </c>
      <c r="B170" s="3">
        <v>7443.3116160000018</v>
      </c>
      <c r="C170" s="16">
        <f t="shared" si="14"/>
        <v>7815.4771968000023</v>
      </c>
    </row>
    <row r="171" spans="1:4" ht="15.6" customHeight="1" x14ac:dyDescent="0.25">
      <c r="A171" s="25" t="s">
        <v>199</v>
      </c>
      <c r="B171" s="21">
        <v>4371</v>
      </c>
      <c r="C171" s="22">
        <f t="shared" si="14"/>
        <v>4589.55</v>
      </c>
      <c r="D171" s="1" t="s">
        <v>211</v>
      </c>
    </row>
    <row r="172" spans="1:4" ht="15.6" customHeight="1" x14ac:dyDescent="0.25">
      <c r="A172" s="19" t="s">
        <v>157</v>
      </c>
      <c r="B172" s="3">
        <v>946.18368000000021</v>
      </c>
      <c r="C172" s="16">
        <f t="shared" si="14"/>
        <v>993.49286400000028</v>
      </c>
    </row>
    <row r="173" spans="1:4" ht="15.6" customHeight="1" x14ac:dyDescent="0.25">
      <c r="A173" s="19" t="s">
        <v>158</v>
      </c>
      <c r="B173" s="3">
        <v>3186.1886284800003</v>
      </c>
      <c r="C173" s="16">
        <f t="shared" si="14"/>
        <v>3345.4980599040005</v>
      </c>
    </row>
    <row r="174" spans="1:4" ht="15.6" customHeight="1" x14ac:dyDescent="0.25">
      <c r="A174" s="19" t="s">
        <v>159</v>
      </c>
      <c r="B174" s="3">
        <v>1576.9728000000002</v>
      </c>
      <c r="C174" s="16">
        <f t="shared" si="14"/>
        <v>1655.8214400000004</v>
      </c>
    </row>
    <row r="175" spans="1:4" ht="15.6" customHeight="1" x14ac:dyDescent="0.25">
      <c r="A175" s="25" t="s">
        <v>197</v>
      </c>
      <c r="B175" s="21">
        <v>1831</v>
      </c>
      <c r="C175" s="22">
        <f t="shared" si="14"/>
        <v>1922.5500000000002</v>
      </c>
      <c r="D175" s="1" t="s">
        <v>211</v>
      </c>
    </row>
    <row r="176" spans="1:4" ht="15.6" customHeight="1" x14ac:dyDescent="0.25">
      <c r="A176" s="19" t="s">
        <v>160</v>
      </c>
      <c r="B176" s="3">
        <v>1892.3673600000004</v>
      </c>
      <c r="C176" s="16">
        <f t="shared" si="14"/>
        <v>1986.9857280000006</v>
      </c>
    </row>
    <row r="177" spans="1:4" ht="15.6" customHeight="1" x14ac:dyDescent="0.25">
      <c r="A177" s="19" t="s">
        <v>161</v>
      </c>
      <c r="B177" s="3">
        <v>1135.4204160000004</v>
      </c>
      <c r="C177" s="16">
        <f t="shared" si="14"/>
        <v>1192.1914368000005</v>
      </c>
    </row>
    <row r="178" spans="1:4" ht="15.6" customHeight="1" x14ac:dyDescent="0.25">
      <c r="A178" s="19" t="s">
        <v>162</v>
      </c>
      <c r="B178" s="3">
        <v>1387.7360640000002</v>
      </c>
      <c r="C178" s="16">
        <f t="shared" si="14"/>
        <v>1457.1228672000002</v>
      </c>
    </row>
    <row r="179" spans="1:4" ht="15.6" customHeight="1" x14ac:dyDescent="0.25">
      <c r="A179" s="19" t="s">
        <v>163</v>
      </c>
      <c r="B179" s="3">
        <v>1450.8149760000003</v>
      </c>
      <c r="C179" s="16">
        <f t="shared" si="14"/>
        <v>1523.3557248000004</v>
      </c>
    </row>
    <row r="180" spans="1:4" ht="15.6" customHeight="1" x14ac:dyDescent="0.25">
      <c r="A180" s="19" t="s">
        <v>164</v>
      </c>
      <c r="B180" s="3">
        <v>1576.9728000000002</v>
      </c>
      <c r="C180" s="16">
        <f t="shared" si="14"/>
        <v>1655.8214400000004</v>
      </c>
    </row>
    <row r="181" spans="1:4" ht="15.6" customHeight="1" x14ac:dyDescent="0.25">
      <c r="A181" s="25" t="s">
        <v>215</v>
      </c>
      <c r="B181" s="21">
        <v>1989</v>
      </c>
      <c r="C181" s="22">
        <f t="shared" si="14"/>
        <v>2088.4500000000003</v>
      </c>
      <c r="D181" s="1" t="s">
        <v>211</v>
      </c>
    </row>
    <row r="182" spans="1:4" ht="15.6" customHeight="1" x14ac:dyDescent="0.25">
      <c r="A182" s="19" t="s">
        <v>165</v>
      </c>
      <c r="B182" s="3">
        <v>1009.2625920000002</v>
      </c>
      <c r="C182" s="16">
        <f t="shared" si="14"/>
        <v>1059.7257216000003</v>
      </c>
    </row>
    <row r="183" spans="1:4" ht="15.6" customHeight="1" x14ac:dyDescent="0.25">
      <c r="A183" s="19" t="s">
        <v>166</v>
      </c>
      <c r="B183" s="3">
        <v>1135.4204160000004</v>
      </c>
      <c r="C183" s="16">
        <f t="shared" si="14"/>
        <v>1192.1914368000005</v>
      </c>
    </row>
    <row r="184" spans="1:4" ht="15.6" customHeight="1" x14ac:dyDescent="0.25">
      <c r="A184" s="19" t="s">
        <v>167</v>
      </c>
      <c r="B184" s="3">
        <v>1576.9728000000002</v>
      </c>
      <c r="C184" s="16">
        <f t="shared" si="14"/>
        <v>1655.8214400000004</v>
      </c>
    </row>
    <row r="185" spans="1:4" ht="15.6" customHeight="1" x14ac:dyDescent="0.25">
      <c r="A185" s="19" t="s">
        <v>168</v>
      </c>
      <c r="B185" s="3">
        <v>1589.5885824000002</v>
      </c>
      <c r="C185" s="16">
        <f t="shared" si="14"/>
        <v>1669.0680115200003</v>
      </c>
    </row>
    <row r="186" spans="1:4" ht="15.6" customHeight="1" x14ac:dyDescent="0.25">
      <c r="A186" s="19" t="s">
        <v>169</v>
      </c>
      <c r="B186" s="3">
        <v>3027.7877760000006</v>
      </c>
      <c r="C186" s="16">
        <f t="shared" si="14"/>
        <v>3179.1771648000008</v>
      </c>
    </row>
    <row r="187" spans="1:4" ht="15.6" customHeight="1" x14ac:dyDescent="0.25">
      <c r="A187" s="19" t="s">
        <v>170</v>
      </c>
      <c r="B187" s="3">
        <v>1387.7360640000002</v>
      </c>
      <c r="C187" s="16">
        <f t="shared" si="14"/>
        <v>1457.1228672000002</v>
      </c>
    </row>
    <row r="188" spans="1:4" ht="15.6" customHeight="1" x14ac:dyDescent="0.25">
      <c r="A188" s="19" t="s">
        <v>171</v>
      </c>
      <c r="B188" s="3">
        <v>1450.8149760000003</v>
      </c>
      <c r="C188" s="16">
        <f t="shared" si="14"/>
        <v>1523.3557248000004</v>
      </c>
    </row>
    <row r="189" spans="1:4" ht="15.6" customHeight="1" x14ac:dyDescent="0.25">
      <c r="A189" s="19" t="s">
        <v>172</v>
      </c>
      <c r="B189" s="3">
        <v>1009.2625920000002</v>
      </c>
      <c r="C189" s="16">
        <f t="shared" si="14"/>
        <v>1059.7257216000003</v>
      </c>
    </row>
    <row r="190" spans="1:4" ht="15.6" customHeight="1" x14ac:dyDescent="0.25">
      <c r="A190" s="19" t="s">
        <v>173</v>
      </c>
      <c r="B190" s="3">
        <v>2270.8408320000008</v>
      </c>
      <c r="C190" s="16">
        <f t="shared" ref="C190:C214" si="15">B190*1.05</f>
        <v>2384.3828736000009</v>
      </c>
    </row>
    <row r="191" spans="1:4" ht="15.6" customHeight="1" x14ac:dyDescent="0.25">
      <c r="A191" s="19" t="s">
        <v>174</v>
      </c>
      <c r="B191" s="3">
        <v>1766.2095360000003</v>
      </c>
      <c r="C191" s="16">
        <f t="shared" si="15"/>
        <v>1854.5200128000004</v>
      </c>
    </row>
    <row r="192" spans="1:4" ht="15.6" customHeight="1" x14ac:dyDescent="0.25">
      <c r="A192" s="25" t="s">
        <v>216</v>
      </c>
      <c r="B192" s="21">
        <v>2806</v>
      </c>
      <c r="C192" s="22">
        <f t="shared" si="15"/>
        <v>2946.3</v>
      </c>
      <c r="D192" s="1" t="s">
        <v>211</v>
      </c>
    </row>
    <row r="193" spans="1:4" ht="15.6" customHeight="1" x14ac:dyDescent="0.25">
      <c r="A193" s="19" t="s">
        <v>175</v>
      </c>
      <c r="B193" s="3">
        <v>946.18368000000021</v>
      </c>
      <c r="C193" s="16">
        <f t="shared" si="15"/>
        <v>993.49286400000028</v>
      </c>
    </row>
    <row r="194" spans="1:4" ht="15.6" customHeight="1" x14ac:dyDescent="0.25">
      <c r="A194" s="19" t="s">
        <v>176</v>
      </c>
      <c r="B194" s="3">
        <v>1387.7360640000002</v>
      </c>
      <c r="C194" s="16">
        <f t="shared" si="15"/>
        <v>1457.1228672000002</v>
      </c>
    </row>
    <row r="195" spans="1:4" ht="15.6" customHeight="1" x14ac:dyDescent="0.25">
      <c r="A195" s="19" t="s">
        <v>177</v>
      </c>
      <c r="B195" s="3">
        <v>1766.2095360000003</v>
      </c>
      <c r="C195" s="16">
        <f t="shared" si="15"/>
        <v>1854.5200128000004</v>
      </c>
    </row>
    <row r="196" spans="1:4" ht="15.6" customHeight="1" x14ac:dyDescent="0.25">
      <c r="A196" s="19" t="s">
        <v>178</v>
      </c>
      <c r="B196" s="3">
        <v>946.18368000000021</v>
      </c>
      <c r="C196" s="16">
        <f t="shared" si="15"/>
        <v>993.49286400000028</v>
      </c>
    </row>
    <row r="197" spans="1:4" ht="15.6" customHeight="1" x14ac:dyDescent="0.25">
      <c r="A197" s="19" t="s">
        <v>179</v>
      </c>
      <c r="B197" s="3">
        <v>1261.5782400000003</v>
      </c>
      <c r="C197" s="16">
        <f t="shared" si="15"/>
        <v>1324.6571520000005</v>
      </c>
    </row>
    <row r="198" spans="1:4" ht="15.6" customHeight="1" x14ac:dyDescent="0.25">
      <c r="A198" s="19" t="s">
        <v>180</v>
      </c>
      <c r="B198" s="3">
        <v>946.18368000000021</v>
      </c>
      <c r="C198" s="16">
        <f t="shared" si="15"/>
        <v>993.49286400000028</v>
      </c>
    </row>
    <row r="199" spans="1:4" ht="15.6" customHeight="1" x14ac:dyDescent="0.25">
      <c r="A199" s="19" t="s">
        <v>181</v>
      </c>
      <c r="B199" s="3">
        <v>10092.625920000002</v>
      </c>
      <c r="C199" s="16">
        <f t="shared" si="15"/>
        <v>10597.257216000004</v>
      </c>
    </row>
    <row r="200" spans="1:4" ht="15.6" customHeight="1" x14ac:dyDescent="0.25">
      <c r="A200" s="19" t="s">
        <v>182</v>
      </c>
      <c r="B200" s="3">
        <v>946.18368000000021</v>
      </c>
      <c r="C200" s="16">
        <f t="shared" si="15"/>
        <v>993.49286400000028</v>
      </c>
    </row>
    <row r="201" spans="1:4" ht="15.6" customHeight="1" x14ac:dyDescent="0.25">
      <c r="A201" s="19" t="s">
        <v>183</v>
      </c>
      <c r="B201" s="3">
        <v>946.18368000000021</v>
      </c>
      <c r="C201" s="16">
        <f t="shared" si="15"/>
        <v>993.49286400000028</v>
      </c>
    </row>
    <row r="202" spans="1:4" ht="15.6" customHeight="1" x14ac:dyDescent="0.25">
      <c r="A202" s="25" t="s">
        <v>217</v>
      </c>
      <c r="B202" s="21">
        <v>2902</v>
      </c>
      <c r="C202" s="22">
        <f t="shared" si="15"/>
        <v>3047.1</v>
      </c>
      <c r="D202" s="1" t="s">
        <v>211</v>
      </c>
    </row>
    <row r="203" spans="1:4" ht="15.6" customHeight="1" x14ac:dyDescent="0.25">
      <c r="A203" s="19" t="s">
        <v>184</v>
      </c>
      <c r="B203" s="3">
        <v>1513.8938880000003</v>
      </c>
      <c r="C203" s="16">
        <f t="shared" si="15"/>
        <v>1589.5885824000004</v>
      </c>
    </row>
    <row r="204" spans="1:4" ht="15.6" customHeight="1" x14ac:dyDescent="0.25">
      <c r="A204" s="19" t="s">
        <v>185</v>
      </c>
      <c r="B204" s="3">
        <v>1513.8938880000003</v>
      </c>
      <c r="C204" s="16">
        <f t="shared" si="15"/>
        <v>1589.5885824000004</v>
      </c>
    </row>
    <row r="205" spans="1:4" ht="15.6" customHeight="1" x14ac:dyDescent="0.25">
      <c r="A205" s="19" t="s">
        <v>186</v>
      </c>
      <c r="B205" s="3">
        <v>1513.8938880000003</v>
      </c>
      <c r="C205" s="16">
        <f t="shared" si="15"/>
        <v>1589.5885824000004</v>
      </c>
    </row>
    <row r="206" spans="1:4" ht="15.6" customHeight="1" x14ac:dyDescent="0.25">
      <c r="A206" s="19" t="s">
        <v>187</v>
      </c>
      <c r="B206" s="3">
        <v>1261.5782400000003</v>
      </c>
      <c r="C206" s="16">
        <f t="shared" si="15"/>
        <v>1324.6571520000005</v>
      </c>
    </row>
    <row r="207" spans="1:4" ht="15.6" customHeight="1" x14ac:dyDescent="0.25">
      <c r="A207" s="25" t="s">
        <v>218</v>
      </c>
      <c r="B207" s="21">
        <v>1262</v>
      </c>
      <c r="C207" s="22">
        <f t="shared" si="15"/>
        <v>1325.1000000000001</v>
      </c>
      <c r="D207" s="1" t="s">
        <v>211</v>
      </c>
    </row>
    <row r="208" spans="1:4" ht="15.6" customHeight="1" x14ac:dyDescent="0.25">
      <c r="A208" s="19" t="s">
        <v>188</v>
      </c>
      <c r="B208" s="3">
        <v>1009.2625920000002</v>
      </c>
      <c r="C208" s="16">
        <f t="shared" si="15"/>
        <v>1059.7257216000003</v>
      </c>
    </row>
    <row r="209" spans="1:4" ht="15.6" customHeight="1" x14ac:dyDescent="0.25">
      <c r="A209" s="19" t="s">
        <v>189</v>
      </c>
      <c r="B209" s="3">
        <v>1576.9728000000002</v>
      </c>
      <c r="C209" s="16">
        <f t="shared" si="15"/>
        <v>1655.8214400000004</v>
      </c>
    </row>
    <row r="210" spans="1:4" ht="15.6" customHeight="1" x14ac:dyDescent="0.25">
      <c r="A210" s="19" t="s">
        <v>190</v>
      </c>
      <c r="B210" s="3">
        <v>1198.4993280000001</v>
      </c>
      <c r="C210" s="16">
        <f t="shared" si="15"/>
        <v>1258.4242944000002</v>
      </c>
    </row>
    <row r="211" spans="1:4" ht="15.6" customHeight="1" x14ac:dyDescent="0.25">
      <c r="A211" s="19" t="s">
        <v>191</v>
      </c>
      <c r="B211" s="3">
        <v>946.18368000000021</v>
      </c>
      <c r="C211" s="16">
        <f t="shared" si="15"/>
        <v>993.49286400000028</v>
      </c>
    </row>
    <row r="212" spans="1:4" ht="15.6" customHeight="1" x14ac:dyDescent="0.25">
      <c r="A212" s="19" t="s">
        <v>192</v>
      </c>
      <c r="B212" s="3">
        <v>1766.2095360000003</v>
      </c>
      <c r="C212" s="16">
        <f t="shared" si="15"/>
        <v>1854.5200128000004</v>
      </c>
    </row>
    <row r="213" spans="1:4" ht="15.6" customHeight="1" x14ac:dyDescent="0.25">
      <c r="A213" s="25" t="s">
        <v>219</v>
      </c>
      <c r="B213" s="21">
        <v>1759</v>
      </c>
      <c r="C213" s="22">
        <f t="shared" si="15"/>
        <v>1846.95</v>
      </c>
      <c r="D213" s="1" t="s">
        <v>211</v>
      </c>
    </row>
    <row r="214" spans="1:4" ht="15.6" customHeight="1" x14ac:dyDescent="0.25">
      <c r="A214" s="25" t="s">
        <v>220</v>
      </c>
      <c r="B214" s="21">
        <v>2002</v>
      </c>
      <c r="C214" s="22">
        <f t="shared" si="15"/>
        <v>2102.1</v>
      </c>
      <c r="D214" s="1" t="s">
        <v>211</v>
      </c>
    </row>
    <row r="215" spans="1:4" ht="15.6" customHeight="1" x14ac:dyDescent="0.25">
      <c r="A215" s="19" t="s">
        <v>193</v>
      </c>
      <c r="B215" s="3">
        <v>656.67</v>
      </c>
      <c r="C215" s="26">
        <v>687.25</v>
      </c>
      <c r="D215" s="1" t="s">
        <v>221</v>
      </c>
    </row>
    <row r="216" spans="1:4" ht="15.6" customHeight="1" x14ac:dyDescent="0.25">
      <c r="A216" s="19" t="s">
        <v>3</v>
      </c>
      <c r="B216" s="3">
        <v>656.67</v>
      </c>
      <c r="C216" s="26">
        <v>687.25</v>
      </c>
      <c r="D216" s="1" t="s">
        <v>221</v>
      </c>
    </row>
    <row r="217" spans="1:4" ht="15.6" customHeight="1" x14ac:dyDescent="0.25">
      <c r="A217" s="19" t="s">
        <v>194</v>
      </c>
      <c r="B217" s="3">
        <v>656.67</v>
      </c>
      <c r="C217" s="26">
        <v>687.25</v>
      </c>
      <c r="D217" s="1" t="s">
        <v>221</v>
      </c>
    </row>
    <row r="219" spans="1:4" x14ac:dyDescent="0.25">
      <c r="A219" s="2" t="s">
        <v>8</v>
      </c>
      <c r="B219" s="10" t="s">
        <v>83</v>
      </c>
      <c r="C219" s="8" t="s">
        <v>92</v>
      </c>
    </row>
    <row r="220" spans="1:4" x14ac:dyDescent="0.25">
      <c r="A220" s="1" t="s">
        <v>6</v>
      </c>
      <c r="B220" s="3">
        <v>1009.2625920000002</v>
      </c>
      <c r="C220" s="16">
        <f t="shared" ref="C220:C248" si="16">B220*1.05</f>
        <v>1059.7257216000003</v>
      </c>
    </row>
    <row r="221" spans="1:4" x14ac:dyDescent="0.25">
      <c r="A221" s="1" t="s">
        <v>9</v>
      </c>
      <c r="B221" s="3">
        <v>1211.1151104000003</v>
      </c>
      <c r="C221" s="16">
        <f t="shared" si="16"/>
        <v>1271.6708659200003</v>
      </c>
    </row>
    <row r="222" spans="1:4" x14ac:dyDescent="0.25">
      <c r="A222" s="27" t="s">
        <v>195</v>
      </c>
      <c r="B222" s="28">
        <v>1245.2262451200002</v>
      </c>
      <c r="C222" s="29">
        <f t="shared" si="16"/>
        <v>1307.4875573760003</v>
      </c>
      <c r="D222" s="1" t="s">
        <v>223</v>
      </c>
    </row>
    <row r="223" spans="1:4" x14ac:dyDescent="0.25">
      <c r="A223" s="1" t="s">
        <v>196</v>
      </c>
      <c r="B223" s="3">
        <v>1293.1176960000003</v>
      </c>
      <c r="C223" s="16">
        <f t="shared" si="16"/>
        <v>1357.7735808000002</v>
      </c>
    </row>
    <row r="224" spans="1:4" x14ac:dyDescent="0.25">
      <c r="A224" s="1" t="s">
        <v>158</v>
      </c>
      <c r="B224" s="3">
        <v>1375.1202816000002</v>
      </c>
      <c r="C224" s="16">
        <f t="shared" si="16"/>
        <v>1443.8762956800003</v>
      </c>
    </row>
    <row r="225" spans="1:22" x14ac:dyDescent="0.25">
      <c r="A225" s="1" t="s">
        <v>197</v>
      </c>
      <c r="B225" s="3">
        <v>1665.2832768000003</v>
      </c>
      <c r="C225" s="16">
        <f t="shared" si="16"/>
        <v>1748.5474406400003</v>
      </c>
    </row>
    <row r="226" spans="1:22" x14ac:dyDescent="0.25">
      <c r="A226" s="1" t="s">
        <v>198</v>
      </c>
      <c r="B226" s="3">
        <v>1816.6726656000001</v>
      </c>
      <c r="C226" s="16">
        <f t="shared" si="16"/>
        <v>1907.5062988800003</v>
      </c>
    </row>
    <row r="227" spans="1:22" x14ac:dyDescent="0.25">
      <c r="A227" s="1" t="s">
        <v>199</v>
      </c>
      <c r="B227" s="3">
        <v>2964.7088640000011</v>
      </c>
      <c r="C227" s="16">
        <f t="shared" si="16"/>
        <v>3112.9443072000013</v>
      </c>
    </row>
    <row r="228" spans="1:22" x14ac:dyDescent="0.25">
      <c r="A228" s="27" t="s">
        <v>200</v>
      </c>
      <c r="B228" s="28">
        <v>1564.3934092800005</v>
      </c>
      <c r="C228" s="29">
        <f t="shared" si="16"/>
        <v>1642.6130797440005</v>
      </c>
      <c r="D228" s="1" t="s">
        <v>222</v>
      </c>
    </row>
    <row r="229" spans="1:22" x14ac:dyDescent="0.25">
      <c r="A229" s="1" t="s">
        <v>201</v>
      </c>
      <c r="B229" s="3">
        <v>4547.9895552000007</v>
      </c>
      <c r="C229" s="16">
        <f t="shared" si="16"/>
        <v>4775.3890329600008</v>
      </c>
    </row>
    <row r="230" spans="1:22" x14ac:dyDescent="0.25">
      <c r="A230" s="1" t="s">
        <v>202</v>
      </c>
      <c r="B230" s="3">
        <v>2711.6289907200003</v>
      </c>
      <c r="C230" s="16">
        <f t="shared" si="16"/>
        <v>2847.2104402560003</v>
      </c>
    </row>
    <row r="231" spans="1:22" x14ac:dyDescent="0.25">
      <c r="A231" s="1" t="s">
        <v>203</v>
      </c>
      <c r="B231" s="3">
        <v>1581.7765017600004</v>
      </c>
      <c r="C231" s="16">
        <f t="shared" si="16"/>
        <v>1660.8653268480004</v>
      </c>
    </row>
    <row r="232" spans="1:22" x14ac:dyDescent="0.25">
      <c r="A232" s="1" t="s">
        <v>204</v>
      </c>
      <c r="B232" s="3">
        <v>1894.6600358400003</v>
      </c>
      <c r="C232" s="16">
        <f t="shared" si="16"/>
        <v>1989.3930376320004</v>
      </c>
    </row>
    <row r="233" spans="1:22" x14ac:dyDescent="0.25">
      <c r="A233" s="1" t="s">
        <v>190</v>
      </c>
      <c r="B233" s="3">
        <v>2340.2276352000003</v>
      </c>
      <c r="C233" s="16">
        <f t="shared" si="16"/>
        <v>2457.2390169600003</v>
      </c>
    </row>
    <row r="234" spans="1:22" x14ac:dyDescent="0.25">
      <c r="A234" s="1" t="s">
        <v>153</v>
      </c>
      <c r="B234" s="3">
        <v>1685.4685286400004</v>
      </c>
      <c r="C234" s="16">
        <f t="shared" si="16"/>
        <v>1769.7419550720006</v>
      </c>
    </row>
    <row r="235" spans="1:22" x14ac:dyDescent="0.25">
      <c r="A235" s="27" t="s">
        <v>205</v>
      </c>
      <c r="B235" s="28">
        <v>999.36405504000015</v>
      </c>
      <c r="C235" s="29">
        <f t="shared" si="16"/>
        <v>1049.3322577920003</v>
      </c>
      <c r="D235" s="1" t="s">
        <v>224</v>
      </c>
    </row>
    <row r="236" spans="1:22" x14ac:dyDescent="0.25">
      <c r="A236" s="1" t="s">
        <v>206</v>
      </c>
      <c r="B236" s="3">
        <v>1984.2684825600002</v>
      </c>
      <c r="C236" s="16">
        <f t="shared" si="16"/>
        <v>2083.4819066880004</v>
      </c>
    </row>
    <row r="237" spans="1:22" x14ac:dyDescent="0.25">
      <c r="A237" s="1" t="s">
        <v>207</v>
      </c>
      <c r="B237" s="3">
        <v>1375.1202816000002</v>
      </c>
      <c r="C237" s="16">
        <f t="shared" si="16"/>
        <v>1443.8762956800003</v>
      </c>
      <c r="U237" s="30" t="s">
        <v>229</v>
      </c>
      <c r="V237" s="30" t="s">
        <v>230</v>
      </c>
    </row>
    <row r="238" spans="1:22" x14ac:dyDescent="0.25">
      <c r="A238" s="31" t="s">
        <v>151</v>
      </c>
      <c r="B238" s="32">
        <v>8207.1818552195127</v>
      </c>
      <c r="C238" s="33">
        <f t="shared" si="16"/>
        <v>8617.5409479804894</v>
      </c>
      <c r="D238" s="1" t="s">
        <v>228</v>
      </c>
    </row>
    <row r="239" spans="1:22" x14ac:dyDescent="0.25">
      <c r="A239" s="1" t="s">
        <v>145</v>
      </c>
      <c r="B239" s="3">
        <v>2091.3085440000004</v>
      </c>
      <c r="C239" s="16">
        <f t="shared" si="16"/>
        <v>2195.8739712000006</v>
      </c>
    </row>
    <row r="240" spans="1:22" x14ac:dyDescent="0.25">
      <c r="A240" s="1" t="s">
        <v>208</v>
      </c>
      <c r="B240" s="3">
        <v>2398.2117120000003</v>
      </c>
      <c r="C240" s="16">
        <f t="shared" si="16"/>
        <v>2518.1222976000004</v>
      </c>
    </row>
    <row r="241" spans="1:4" x14ac:dyDescent="0.25">
      <c r="A241" s="1" t="s">
        <v>209</v>
      </c>
      <c r="B241" s="3">
        <v>4825.5367680000008</v>
      </c>
      <c r="C241" s="16">
        <f t="shared" si="16"/>
        <v>5066.8136064000009</v>
      </c>
    </row>
    <row r="242" spans="1:4" x14ac:dyDescent="0.25">
      <c r="A242" s="1" t="s">
        <v>168</v>
      </c>
      <c r="B242" s="3">
        <v>2415.1944960000001</v>
      </c>
      <c r="C242" s="16">
        <f t="shared" si="16"/>
        <v>2535.9542208000003</v>
      </c>
    </row>
    <row r="243" spans="1:4" x14ac:dyDescent="0.25">
      <c r="A243" s="1" t="s">
        <v>210</v>
      </c>
      <c r="B243" s="3">
        <v>1807.7445734400003</v>
      </c>
      <c r="C243" s="16">
        <f t="shared" si="16"/>
        <v>1898.1318021120003</v>
      </c>
    </row>
    <row r="244" spans="1:4" x14ac:dyDescent="0.25">
      <c r="A244" s="27" t="s">
        <v>225</v>
      </c>
      <c r="B244" s="28">
        <v>1233</v>
      </c>
      <c r="C244" s="29">
        <f t="shared" si="16"/>
        <v>1294.6500000000001</v>
      </c>
      <c r="D244" s="1" t="s">
        <v>211</v>
      </c>
    </row>
    <row r="245" spans="1:4" x14ac:dyDescent="0.25">
      <c r="A245" s="27" t="s">
        <v>226</v>
      </c>
      <c r="B245" s="28">
        <v>1339</v>
      </c>
      <c r="C245" s="29">
        <f t="shared" si="16"/>
        <v>1405.95</v>
      </c>
      <c r="D245" s="1" t="s">
        <v>211</v>
      </c>
    </row>
    <row r="246" spans="1:4" x14ac:dyDescent="0.25">
      <c r="A246" s="27" t="s">
        <v>227</v>
      </c>
      <c r="B246" s="28">
        <v>2013</v>
      </c>
      <c r="C246" s="29">
        <f t="shared" si="16"/>
        <v>2113.65</v>
      </c>
      <c r="D246" s="1" t="s">
        <v>211</v>
      </c>
    </row>
    <row r="247" spans="1:4" x14ac:dyDescent="0.25">
      <c r="A247" s="1" t="s">
        <v>194</v>
      </c>
      <c r="B247" s="3">
        <v>656.67</v>
      </c>
      <c r="C247" s="6">
        <v>687.25</v>
      </c>
      <c r="D247" s="1" t="s">
        <v>221</v>
      </c>
    </row>
    <row r="248" spans="1:4" x14ac:dyDescent="0.25">
      <c r="A248" s="1" t="s">
        <v>10</v>
      </c>
      <c r="B248" s="3">
        <v>79.47942912000002</v>
      </c>
      <c r="C248" s="16">
        <f t="shared" si="16"/>
        <v>83.453400576000021</v>
      </c>
    </row>
    <row r="249" spans="1:4" x14ac:dyDescent="0.25">
      <c r="A249" s="1" t="s">
        <v>3</v>
      </c>
      <c r="B249" s="3">
        <v>656.67</v>
      </c>
      <c r="C249" s="6">
        <v>687.25</v>
      </c>
      <c r="D249" s="1" t="s">
        <v>221</v>
      </c>
    </row>
  </sheetData>
  <mergeCells count="2">
    <mergeCell ref="A1:B1"/>
    <mergeCell ref="A2:B2"/>
  </mergeCells>
  <pageMargins left="0.70866141732283472" right="0.70866141732283472" top="0.74803149606299213" bottom="0.74803149606299213" header="0.31496062992125984" footer="0.31496062992125984"/>
  <pageSetup paperSize="9" scale="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A9B14-55E3-424C-87AA-3EA5CF3BD9BE}">
  <sheetPr>
    <pageSetUpPr fitToPage="1"/>
  </sheetPr>
  <dimension ref="A1:Q248"/>
  <sheetViews>
    <sheetView tabSelected="1" zoomScaleNormal="100" workbookViewId="0">
      <selection activeCell="G22" sqref="G22"/>
    </sheetView>
  </sheetViews>
  <sheetFormatPr baseColWidth="10" defaultColWidth="10.85546875" defaultRowHeight="15.75" x14ac:dyDescent="0.25"/>
  <cols>
    <col min="1" max="1" width="73.85546875" style="1" bestFit="1" customWidth="1"/>
    <col min="2" max="2" width="12.7109375" style="3" bestFit="1" customWidth="1"/>
    <col min="3" max="3" width="19.7109375" style="1" bestFit="1" customWidth="1"/>
    <col min="4" max="4" width="23.85546875" style="1" bestFit="1" customWidth="1"/>
    <col min="5" max="16384" width="10.85546875" style="1"/>
  </cols>
  <sheetData>
    <row r="1" spans="1:4" x14ac:dyDescent="0.25">
      <c r="A1" s="54" t="s">
        <v>0</v>
      </c>
      <c r="B1" s="54"/>
      <c r="D1" s="1" t="s">
        <v>234</v>
      </c>
    </row>
    <row r="2" spans="1:4" x14ac:dyDescent="0.25">
      <c r="A2" s="54" t="s">
        <v>1</v>
      </c>
      <c r="B2" s="54"/>
    </row>
    <row r="3" spans="1:4" x14ac:dyDescent="0.25">
      <c r="B3" s="10" t="s">
        <v>83</v>
      </c>
      <c r="C3" s="8" t="s">
        <v>92</v>
      </c>
    </row>
    <row r="4" spans="1:4" x14ac:dyDescent="0.25">
      <c r="A4" s="2" t="s">
        <v>75</v>
      </c>
    </row>
    <row r="5" spans="1:4" x14ac:dyDescent="0.25">
      <c r="A5" s="38" t="s">
        <v>56</v>
      </c>
      <c r="B5" s="39">
        <v>2.1059999999999999</v>
      </c>
      <c r="C5" s="43">
        <f t="shared" ref="C5:C6" si="0">B5*1.05</f>
        <v>2.2113</v>
      </c>
    </row>
    <row r="6" spans="1:4" x14ac:dyDescent="0.25">
      <c r="A6" s="47" t="s">
        <v>76</v>
      </c>
      <c r="B6" s="48">
        <v>367</v>
      </c>
      <c r="C6" s="49">
        <f t="shared" si="0"/>
        <v>385.35</v>
      </c>
      <c r="D6" s="47" t="s">
        <v>235</v>
      </c>
    </row>
    <row r="7" spans="1:4" x14ac:dyDescent="0.25">
      <c r="B7" s="7"/>
    </row>
    <row r="8" spans="1:4" x14ac:dyDescent="0.25">
      <c r="A8" s="35" t="s">
        <v>91</v>
      </c>
      <c r="B8" s="36" t="s">
        <v>83</v>
      </c>
      <c r="C8" s="37" t="s">
        <v>92</v>
      </c>
    </row>
    <row r="9" spans="1:4" x14ac:dyDescent="0.25">
      <c r="A9" s="38" t="s">
        <v>69</v>
      </c>
      <c r="B9" s="39">
        <v>1873.52</v>
      </c>
      <c r="C9" s="42">
        <v>3.2</v>
      </c>
    </row>
    <row r="10" spans="1:4" x14ac:dyDescent="0.25">
      <c r="A10" s="47" t="s">
        <v>70</v>
      </c>
      <c r="B10" s="48">
        <v>367</v>
      </c>
      <c r="C10" s="49">
        <v>386</v>
      </c>
      <c r="D10" s="47" t="s">
        <v>235</v>
      </c>
    </row>
    <row r="11" spans="1:4" x14ac:dyDescent="0.25">
      <c r="A11" s="47" t="s">
        <v>90</v>
      </c>
      <c r="B11" s="48">
        <v>725.25</v>
      </c>
      <c r="C11" s="50">
        <v>725.25</v>
      </c>
      <c r="D11" s="47" t="s">
        <v>235</v>
      </c>
    </row>
    <row r="12" spans="1:4" x14ac:dyDescent="0.25">
      <c r="B12" s="7"/>
    </row>
    <row r="13" spans="1:4" x14ac:dyDescent="0.25">
      <c r="B13" s="7"/>
    </row>
    <row r="14" spans="1:4" x14ac:dyDescent="0.25">
      <c r="A14" s="35" t="s">
        <v>73</v>
      </c>
      <c r="B14" s="36" t="s">
        <v>83</v>
      </c>
      <c r="C14" s="37" t="s">
        <v>92</v>
      </c>
      <c r="D14" s="1" t="s">
        <v>233</v>
      </c>
    </row>
    <row r="15" spans="1:4" x14ac:dyDescent="0.25">
      <c r="A15" s="38" t="s">
        <v>72</v>
      </c>
      <c r="B15" s="41">
        <v>1350</v>
      </c>
      <c r="C15" s="40">
        <f t="shared" ref="C15:C16" si="1">B15*1.05</f>
        <v>1417.5</v>
      </c>
    </row>
    <row r="16" spans="1:4" x14ac:dyDescent="0.25">
      <c r="A16" s="38" t="s">
        <v>71</v>
      </c>
      <c r="B16" s="41">
        <v>110</v>
      </c>
      <c r="C16" s="40">
        <f t="shared" si="1"/>
        <v>115.5</v>
      </c>
    </row>
    <row r="17" spans="1:4" x14ac:dyDescent="0.25">
      <c r="B17" s="7"/>
    </row>
    <row r="18" spans="1:4" x14ac:dyDescent="0.25">
      <c r="A18" s="35" t="s">
        <v>11</v>
      </c>
      <c r="B18" s="36" t="s">
        <v>83</v>
      </c>
      <c r="C18" s="37" t="s">
        <v>92</v>
      </c>
      <c r="D18" s="1" t="s">
        <v>233</v>
      </c>
    </row>
    <row r="19" spans="1:4" x14ac:dyDescent="0.25">
      <c r="A19" s="38" t="s">
        <v>79</v>
      </c>
      <c r="B19" s="39">
        <v>653.17999999999995</v>
      </c>
      <c r="C19" s="40">
        <f>B19*1.05</f>
        <v>685.83899999999994</v>
      </c>
    </row>
    <row r="20" spans="1:4" x14ac:dyDescent="0.25">
      <c r="A20" s="38" t="s">
        <v>3</v>
      </c>
      <c r="B20" s="39">
        <v>163.29</v>
      </c>
      <c r="C20" s="40">
        <f t="shared" ref="C20:C27" si="2">B20*1.05</f>
        <v>171.4545</v>
      </c>
    </row>
    <row r="21" spans="1:4" x14ac:dyDescent="0.25">
      <c r="A21" s="38" t="s">
        <v>80</v>
      </c>
      <c r="B21" s="39">
        <v>700</v>
      </c>
      <c r="C21" s="42">
        <f t="shared" si="2"/>
        <v>735</v>
      </c>
    </row>
    <row r="22" spans="1:4" x14ac:dyDescent="0.25">
      <c r="A22" s="38" t="s">
        <v>3</v>
      </c>
      <c r="B22" s="39">
        <v>175</v>
      </c>
      <c r="C22" s="40">
        <f t="shared" si="2"/>
        <v>183.75</v>
      </c>
    </row>
    <row r="23" spans="1:4" x14ac:dyDescent="0.25">
      <c r="A23" s="38" t="s">
        <v>74</v>
      </c>
      <c r="B23" s="39">
        <v>548.78</v>
      </c>
      <c r="C23" s="42">
        <f t="shared" si="2"/>
        <v>576.21900000000005</v>
      </c>
    </row>
    <row r="24" spans="1:4" x14ac:dyDescent="0.25">
      <c r="A24" s="38" t="s">
        <v>81</v>
      </c>
      <c r="B24" s="41">
        <f>B19*1.1666</f>
        <v>761.99978799999997</v>
      </c>
      <c r="C24" s="40">
        <f t="shared" si="2"/>
        <v>800.09977739999999</v>
      </c>
    </row>
    <row r="25" spans="1:4" x14ac:dyDescent="0.25">
      <c r="A25" s="38" t="s">
        <v>82</v>
      </c>
      <c r="B25" s="41">
        <f>B21*1.1666</f>
        <v>816.62</v>
      </c>
      <c r="C25" s="40">
        <f t="shared" si="2"/>
        <v>857.45100000000002</v>
      </c>
    </row>
    <row r="26" spans="1:4" x14ac:dyDescent="0.25">
      <c r="A26" s="38" t="s">
        <v>77</v>
      </c>
      <c r="B26" s="41">
        <f>B19/2</f>
        <v>326.58999999999997</v>
      </c>
      <c r="C26" s="40">
        <f t="shared" si="2"/>
        <v>342.91949999999997</v>
      </c>
    </row>
    <row r="27" spans="1:4" x14ac:dyDescent="0.25">
      <c r="A27" s="38" t="s">
        <v>78</v>
      </c>
      <c r="B27" s="41">
        <f>B19/2</f>
        <v>326.58999999999997</v>
      </c>
      <c r="C27" s="40">
        <f t="shared" si="2"/>
        <v>342.91949999999997</v>
      </c>
    </row>
    <row r="28" spans="1:4" x14ac:dyDescent="0.25">
      <c r="A28" s="1" t="s">
        <v>84</v>
      </c>
    </row>
    <row r="30" spans="1:4" x14ac:dyDescent="0.25">
      <c r="A30" s="35" t="s">
        <v>87</v>
      </c>
      <c r="B30" s="36" t="s">
        <v>83</v>
      </c>
      <c r="C30" s="37" t="s">
        <v>92</v>
      </c>
      <c r="D30" s="1" t="s">
        <v>233</v>
      </c>
    </row>
    <row r="31" spans="1:4" x14ac:dyDescent="0.25">
      <c r="A31" s="44" t="s">
        <v>104</v>
      </c>
      <c r="B31" s="39">
        <v>959</v>
      </c>
      <c r="C31" s="40">
        <f t="shared" ref="C31" si="3">B31*1.05</f>
        <v>1006.95</v>
      </c>
    </row>
    <row r="32" spans="1:4" x14ac:dyDescent="0.25">
      <c r="A32" s="44" t="s">
        <v>4</v>
      </c>
      <c r="B32" s="45">
        <v>110</v>
      </c>
      <c r="C32" s="40">
        <f>B32*1.05</f>
        <v>115.5</v>
      </c>
    </row>
    <row r="33" spans="1:4" x14ac:dyDescent="0.25">
      <c r="A33" s="44" t="s">
        <v>85</v>
      </c>
      <c r="B33" s="45">
        <v>959</v>
      </c>
      <c r="C33" s="40">
        <v>1007</v>
      </c>
    </row>
    <row r="34" spans="1:4" x14ac:dyDescent="0.25">
      <c r="A34" s="44" t="s">
        <v>86</v>
      </c>
      <c r="B34" s="45">
        <v>725.25</v>
      </c>
      <c r="C34" s="40">
        <v>725</v>
      </c>
    </row>
    <row r="35" spans="1:4" x14ac:dyDescent="0.25">
      <c r="A35" s="44" t="s">
        <v>88</v>
      </c>
      <c r="B35" s="45">
        <v>1080</v>
      </c>
      <c r="C35" s="40">
        <f>B35*1.05</f>
        <v>1134</v>
      </c>
    </row>
    <row r="36" spans="1:4" x14ac:dyDescent="0.25">
      <c r="A36" s="44" t="s">
        <v>93</v>
      </c>
      <c r="B36" s="45">
        <v>500</v>
      </c>
      <c r="C36" s="40">
        <f>B36*1.05</f>
        <v>525</v>
      </c>
    </row>
    <row r="37" spans="1:4" x14ac:dyDescent="0.25">
      <c r="A37" s="44" t="s">
        <v>108</v>
      </c>
      <c r="B37" s="45"/>
      <c r="C37" s="40">
        <v>100</v>
      </c>
    </row>
    <row r="38" spans="1:4" x14ac:dyDescent="0.25">
      <c r="A38" s="4"/>
      <c r="B38" s="5"/>
      <c r="C38" s="6"/>
    </row>
    <row r="39" spans="1:4" x14ac:dyDescent="0.25">
      <c r="A39" s="35" t="s">
        <v>5</v>
      </c>
      <c r="B39" s="36" t="s">
        <v>83</v>
      </c>
      <c r="C39" s="37" t="s">
        <v>92</v>
      </c>
      <c r="D39" s="1" t="s">
        <v>233</v>
      </c>
    </row>
    <row r="40" spans="1:4" x14ac:dyDescent="0.25">
      <c r="A40" s="38" t="s">
        <v>94</v>
      </c>
      <c r="B40" s="46">
        <v>1125.9585792000003</v>
      </c>
      <c r="C40" s="40">
        <f>B40*1.05</f>
        <v>1182.2565081600003</v>
      </c>
    </row>
    <row r="41" spans="1:4" x14ac:dyDescent="0.25">
      <c r="A41" s="38" t="s">
        <v>95</v>
      </c>
      <c r="B41" s="46">
        <v>1324.6571520000005</v>
      </c>
      <c r="C41" s="40">
        <f t="shared" ref="C41:C44" si="4">B41*1.05</f>
        <v>1390.8900096000004</v>
      </c>
    </row>
    <row r="42" spans="1:4" x14ac:dyDescent="0.25">
      <c r="A42" s="38" t="s">
        <v>106</v>
      </c>
      <c r="B42" s="46">
        <v>1391</v>
      </c>
      <c r="C42" s="40">
        <f t="shared" si="4"/>
        <v>1460.55</v>
      </c>
    </row>
    <row r="43" spans="1:4" x14ac:dyDescent="0.25">
      <c r="A43" s="38" t="s">
        <v>107</v>
      </c>
      <c r="B43" s="39">
        <f>2.7633+0.2847</f>
        <v>3.048</v>
      </c>
      <c r="C43" s="42">
        <f t="shared" si="4"/>
        <v>3.2004000000000001</v>
      </c>
    </row>
    <row r="44" spans="1:4" x14ac:dyDescent="0.25">
      <c r="A44" s="38" t="s">
        <v>7</v>
      </c>
      <c r="B44" s="41">
        <v>79.47942912000002</v>
      </c>
      <c r="C44" s="40">
        <f t="shared" si="4"/>
        <v>83.453400576000021</v>
      </c>
    </row>
    <row r="46" spans="1:4" x14ac:dyDescent="0.25">
      <c r="A46" s="2" t="s">
        <v>12</v>
      </c>
      <c r="B46" s="10" t="s">
        <v>83</v>
      </c>
      <c r="C46" s="8" t="s">
        <v>92</v>
      </c>
    </row>
    <row r="47" spans="1:4" x14ac:dyDescent="0.25">
      <c r="A47" s="1" t="s">
        <v>13</v>
      </c>
      <c r="B47" s="3">
        <v>2000</v>
      </c>
      <c r="C47" s="16">
        <f>B47*1.05</f>
        <v>2100</v>
      </c>
    </row>
    <row r="48" spans="1:4" x14ac:dyDescent="0.25">
      <c r="A48" s="1" t="s">
        <v>14</v>
      </c>
      <c r="B48" s="3">
        <v>3000</v>
      </c>
      <c r="C48" s="16">
        <f t="shared" ref="C48:C59" si="5">B48*1.05</f>
        <v>3150</v>
      </c>
    </row>
    <row r="49" spans="1:4" x14ac:dyDescent="0.25">
      <c r="A49" s="1" t="s">
        <v>15</v>
      </c>
      <c r="B49" s="7">
        <v>5</v>
      </c>
      <c r="C49" s="6">
        <f t="shared" si="5"/>
        <v>5.25</v>
      </c>
    </row>
    <row r="50" spans="1:4" x14ac:dyDescent="0.25">
      <c r="A50" s="1" t="s">
        <v>16</v>
      </c>
      <c r="B50" s="7">
        <v>4.9000000000000004</v>
      </c>
      <c r="C50" s="6">
        <f t="shared" si="5"/>
        <v>5.1450000000000005</v>
      </c>
    </row>
    <row r="51" spans="1:4" x14ac:dyDescent="0.25">
      <c r="A51" s="1" t="s">
        <v>17</v>
      </c>
      <c r="B51" s="7">
        <v>4.7</v>
      </c>
      <c r="C51" s="6">
        <f t="shared" si="5"/>
        <v>4.9350000000000005</v>
      </c>
    </row>
    <row r="52" spans="1:4" x14ac:dyDescent="0.25">
      <c r="A52" s="1" t="s">
        <v>18</v>
      </c>
      <c r="B52" s="7">
        <v>4.5</v>
      </c>
      <c r="C52" s="6">
        <f t="shared" si="5"/>
        <v>4.7250000000000005</v>
      </c>
    </row>
    <row r="53" spans="1:4" x14ac:dyDescent="0.25">
      <c r="A53" s="1" t="s">
        <v>19</v>
      </c>
      <c r="B53" s="7">
        <v>4.3</v>
      </c>
      <c r="C53" s="6">
        <f t="shared" si="5"/>
        <v>4.5149999999999997</v>
      </c>
    </row>
    <row r="54" spans="1:4" x14ac:dyDescent="0.25">
      <c r="A54" s="1" t="s">
        <v>20</v>
      </c>
      <c r="B54" s="7">
        <v>4.0999999999999996</v>
      </c>
      <c r="C54" s="6">
        <f t="shared" si="5"/>
        <v>4.3049999999999997</v>
      </c>
    </row>
    <row r="55" spans="1:4" x14ac:dyDescent="0.25">
      <c r="A55" s="1" t="s">
        <v>21</v>
      </c>
      <c r="B55" s="7">
        <v>4</v>
      </c>
      <c r="C55" s="6">
        <f t="shared" si="5"/>
        <v>4.2</v>
      </c>
    </row>
    <row r="56" spans="1:4" x14ac:dyDescent="0.25">
      <c r="A56" s="1" t="s">
        <v>22</v>
      </c>
      <c r="B56" s="7">
        <v>3.7</v>
      </c>
      <c r="C56" s="6">
        <f t="shared" si="5"/>
        <v>3.8850000000000002</v>
      </c>
    </row>
    <row r="57" spans="1:4" x14ac:dyDescent="0.25">
      <c r="A57" s="1" t="s">
        <v>23</v>
      </c>
      <c r="B57" s="7">
        <v>3.6</v>
      </c>
      <c r="C57" s="6">
        <f t="shared" si="5"/>
        <v>3.7800000000000002</v>
      </c>
    </row>
    <row r="58" spans="1:4" x14ac:dyDescent="0.25">
      <c r="A58" s="47" t="s">
        <v>24</v>
      </c>
      <c r="B58" s="51">
        <v>480</v>
      </c>
      <c r="C58" s="49">
        <f t="shared" si="5"/>
        <v>504</v>
      </c>
      <c r="D58" s="47" t="s">
        <v>235</v>
      </c>
    </row>
    <row r="59" spans="1:4" x14ac:dyDescent="0.25">
      <c r="A59" s="47" t="s">
        <v>25</v>
      </c>
      <c r="B59" s="51">
        <v>150</v>
      </c>
      <c r="C59" s="49">
        <f t="shared" si="5"/>
        <v>157.5</v>
      </c>
      <c r="D59" s="47" t="s">
        <v>236</v>
      </c>
    </row>
    <row r="60" spans="1:4" x14ac:dyDescent="0.25">
      <c r="B60" s="7"/>
    </row>
    <row r="61" spans="1:4" x14ac:dyDescent="0.25">
      <c r="A61" s="35" t="s">
        <v>26</v>
      </c>
      <c r="B61" s="36" t="s">
        <v>83</v>
      </c>
      <c r="C61" s="37" t="s">
        <v>92</v>
      </c>
      <c r="D61" s="1" t="s">
        <v>233</v>
      </c>
    </row>
    <row r="62" spans="1:4" x14ac:dyDescent="0.25">
      <c r="A62" s="38" t="s">
        <v>27</v>
      </c>
      <c r="B62" s="41">
        <v>931.23397785600014</v>
      </c>
      <c r="C62" s="40">
        <f>B62*1.05</f>
        <v>977.79567674880013</v>
      </c>
    </row>
    <row r="63" spans="1:4" x14ac:dyDescent="0.25">
      <c r="A63" s="38" t="s">
        <v>28</v>
      </c>
      <c r="B63" s="41">
        <v>152.33557248000005</v>
      </c>
      <c r="C63" s="40">
        <f t="shared" ref="C63:C73" si="6">B63*1.05</f>
        <v>159.95235110400006</v>
      </c>
    </row>
    <row r="64" spans="1:4" x14ac:dyDescent="0.25">
      <c r="A64" s="38" t="s">
        <v>29</v>
      </c>
      <c r="B64" s="41">
        <v>835.85866291200023</v>
      </c>
      <c r="C64" s="40">
        <f t="shared" si="6"/>
        <v>877.65159605760027</v>
      </c>
    </row>
    <row r="65" spans="1:4" x14ac:dyDescent="0.25">
      <c r="A65" s="38" t="s">
        <v>30</v>
      </c>
      <c r="B65" s="41">
        <v>135.11502950400001</v>
      </c>
      <c r="C65" s="40">
        <f t="shared" si="6"/>
        <v>141.87078097920002</v>
      </c>
    </row>
    <row r="66" spans="1:4" x14ac:dyDescent="0.25">
      <c r="A66" s="38" t="s">
        <v>31</v>
      </c>
      <c r="B66" s="41">
        <v>751.08060518400032</v>
      </c>
      <c r="C66" s="40">
        <f t="shared" si="6"/>
        <v>788.63463544320041</v>
      </c>
    </row>
    <row r="67" spans="1:4" x14ac:dyDescent="0.25">
      <c r="A67" s="38" t="s">
        <v>32</v>
      </c>
      <c r="B67" s="41">
        <v>121.86845798400003</v>
      </c>
      <c r="C67" s="40">
        <f t="shared" si="6"/>
        <v>127.96188088320004</v>
      </c>
    </row>
    <row r="68" spans="1:4" x14ac:dyDescent="0.25">
      <c r="A68" s="38" t="s">
        <v>33</v>
      </c>
      <c r="B68" s="41">
        <v>1862</v>
      </c>
      <c r="C68" s="40">
        <f t="shared" si="6"/>
        <v>1955.1000000000001</v>
      </c>
    </row>
    <row r="69" spans="1:4" x14ac:dyDescent="0.25">
      <c r="A69" s="38" t="s">
        <v>34</v>
      </c>
      <c r="B69" s="41">
        <v>233.13965875200003</v>
      </c>
      <c r="C69" s="40">
        <f t="shared" si="6"/>
        <v>244.79664168960005</v>
      </c>
    </row>
    <row r="70" spans="1:4" x14ac:dyDescent="0.25">
      <c r="A70" s="38" t="s">
        <v>35</v>
      </c>
      <c r="B70" s="41">
        <v>1672</v>
      </c>
      <c r="C70" s="40">
        <f t="shared" si="6"/>
        <v>1755.6000000000001</v>
      </c>
    </row>
    <row r="71" spans="1:4" x14ac:dyDescent="0.25">
      <c r="A71" s="38" t="s">
        <v>36</v>
      </c>
      <c r="B71" s="41">
        <v>209</v>
      </c>
      <c r="C71" s="40">
        <f t="shared" si="6"/>
        <v>219.45000000000002</v>
      </c>
    </row>
    <row r="72" spans="1:4" x14ac:dyDescent="0.25">
      <c r="A72" s="38" t="s">
        <v>37</v>
      </c>
      <c r="B72" s="41">
        <v>1444</v>
      </c>
      <c r="C72" s="40">
        <f t="shared" si="6"/>
        <v>1516.2</v>
      </c>
    </row>
    <row r="73" spans="1:4" x14ac:dyDescent="0.25">
      <c r="A73" s="38" t="s">
        <v>38</v>
      </c>
      <c r="B73" s="41">
        <v>189.42597273600003</v>
      </c>
      <c r="C73" s="40">
        <f t="shared" si="6"/>
        <v>198.89727137280005</v>
      </c>
    </row>
    <row r="75" spans="1:4" x14ac:dyDescent="0.25">
      <c r="A75" s="35" t="s">
        <v>39</v>
      </c>
      <c r="B75" s="36" t="s">
        <v>83</v>
      </c>
      <c r="C75" s="37" t="s">
        <v>92</v>
      </c>
      <c r="D75" s="1" t="s">
        <v>233</v>
      </c>
    </row>
    <row r="76" spans="1:4" x14ac:dyDescent="0.25">
      <c r="A76" s="38" t="s">
        <v>96</v>
      </c>
      <c r="B76" s="41">
        <v>1458.33</v>
      </c>
      <c r="C76" s="40">
        <f t="shared" ref="C76:C79" si="7">B76*1.05</f>
        <v>1531.2465</v>
      </c>
    </row>
    <row r="77" spans="1:4" x14ac:dyDescent="0.25">
      <c r="A77" s="38" t="s">
        <v>2</v>
      </c>
      <c r="B77" s="41">
        <v>204</v>
      </c>
      <c r="C77" s="40">
        <f t="shared" si="7"/>
        <v>214.20000000000002</v>
      </c>
    </row>
    <row r="78" spans="1:4" x14ac:dyDescent="0.25">
      <c r="A78" s="38" t="s">
        <v>40</v>
      </c>
      <c r="B78" s="41">
        <v>2916.66</v>
      </c>
      <c r="C78" s="40">
        <f t="shared" si="7"/>
        <v>3062.4929999999999</v>
      </c>
    </row>
    <row r="79" spans="1:4" x14ac:dyDescent="0.25">
      <c r="A79" s="38" t="s">
        <v>41</v>
      </c>
      <c r="B79" s="41">
        <v>364.68</v>
      </c>
      <c r="C79" s="40">
        <f t="shared" si="7"/>
        <v>382.91400000000004</v>
      </c>
    </row>
    <row r="81" spans="1:4" x14ac:dyDescent="0.25">
      <c r="A81" s="35" t="s">
        <v>42</v>
      </c>
      <c r="B81" s="36" t="s">
        <v>83</v>
      </c>
      <c r="C81" s="37" t="s">
        <v>92</v>
      </c>
      <c r="D81" s="1" t="s">
        <v>233</v>
      </c>
    </row>
    <row r="82" spans="1:4" x14ac:dyDescent="0.25">
      <c r="A82" s="38" t="s">
        <v>43</v>
      </c>
      <c r="B82" s="41">
        <v>924.83389440000008</v>
      </c>
      <c r="C82" s="40">
        <f t="shared" ref="C82:C86" si="8">B82*1.05</f>
        <v>971.07558912000013</v>
      </c>
    </row>
    <row r="83" spans="1:4" x14ac:dyDescent="0.25">
      <c r="A83" s="38" t="s">
        <v>44</v>
      </c>
      <c r="B83" s="41">
        <v>135.11017728000002</v>
      </c>
      <c r="C83" s="40">
        <f t="shared" si="8"/>
        <v>141.86568614400002</v>
      </c>
    </row>
    <row r="84" spans="1:4" x14ac:dyDescent="0.25">
      <c r="A84" s="38" t="s">
        <v>45</v>
      </c>
      <c r="B84" s="41">
        <v>233.13723264000004</v>
      </c>
      <c r="C84" s="40">
        <f t="shared" si="8"/>
        <v>244.79409427200005</v>
      </c>
    </row>
    <row r="85" spans="1:4" x14ac:dyDescent="0.25">
      <c r="A85" s="38" t="s">
        <v>46</v>
      </c>
      <c r="B85" s="41">
        <v>1671.5911680000004</v>
      </c>
      <c r="C85" s="40">
        <f t="shared" si="8"/>
        <v>1755.1707264000004</v>
      </c>
    </row>
    <row r="86" spans="1:4" x14ac:dyDescent="0.25">
      <c r="A86" s="38" t="s">
        <v>47</v>
      </c>
      <c r="B86" s="41">
        <v>233.13723264000004</v>
      </c>
      <c r="C86" s="40">
        <f t="shared" si="8"/>
        <v>244.79409427200005</v>
      </c>
    </row>
    <row r="88" spans="1:4" x14ac:dyDescent="0.25">
      <c r="A88" s="35" t="s">
        <v>97</v>
      </c>
      <c r="B88" s="36" t="s">
        <v>83</v>
      </c>
      <c r="C88" s="37" t="s">
        <v>92</v>
      </c>
      <c r="D88" s="1" t="s">
        <v>233</v>
      </c>
    </row>
    <row r="89" spans="1:4" x14ac:dyDescent="0.25">
      <c r="A89" s="38" t="s">
        <v>48</v>
      </c>
      <c r="B89" s="41">
        <v>1145</v>
      </c>
      <c r="C89" s="40">
        <f>B89*1.05</f>
        <v>1202.25</v>
      </c>
    </row>
    <row r="90" spans="1:4" x14ac:dyDescent="0.25">
      <c r="A90" s="38" t="s">
        <v>49</v>
      </c>
      <c r="B90" s="41">
        <v>194.4</v>
      </c>
      <c r="C90" s="40">
        <f t="shared" ref="C90:C95" si="9">B90*1.05</f>
        <v>204.12</v>
      </c>
    </row>
    <row r="91" spans="1:4" x14ac:dyDescent="0.25">
      <c r="A91" s="38" t="s">
        <v>50</v>
      </c>
      <c r="B91" s="41">
        <v>200</v>
      </c>
      <c r="C91" s="40">
        <f t="shared" si="9"/>
        <v>210</v>
      </c>
    </row>
    <row r="92" spans="1:4" hidden="1" x14ac:dyDescent="0.25">
      <c r="A92" s="38" t="s">
        <v>51</v>
      </c>
      <c r="B92" s="41">
        <v>2290</v>
      </c>
      <c r="C92" s="40">
        <f t="shared" si="9"/>
        <v>2404.5</v>
      </c>
    </row>
    <row r="93" spans="1:4" x14ac:dyDescent="0.25">
      <c r="A93" s="38" t="s">
        <v>52</v>
      </c>
      <c r="B93" s="41">
        <v>713</v>
      </c>
      <c r="C93" s="40">
        <f t="shared" si="9"/>
        <v>748.65</v>
      </c>
    </row>
    <row r="94" spans="1:4" x14ac:dyDescent="0.25">
      <c r="A94" s="38" t="s">
        <v>53</v>
      </c>
      <c r="B94" s="41">
        <v>118.8</v>
      </c>
      <c r="C94" s="40">
        <f t="shared" si="9"/>
        <v>124.74000000000001</v>
      </c>
    </row>
    <row r="95" spans="1:4" x14ac:dyDescent="0.25">
      <c r="A95" s="38" t="s">
        <v>54</v>
      </c>
      <c r="B95" s="41">
        <v>100</v>
      </c>
      <c r="C95" s="40">
        <f t="shared" si="9"/>
        <v>105</v>
      </c>
    </row>
    <row r="96" spans="1:4" hidden="1" x14ac:dyDescent="0.25">
      <c r="A96" s="1" t="s">
        <v>55</v>
      </c>
      <c r="B96" s="3">
        <v>1426</v>
      </c>
    </row>
    <row r="98" spans="1:4" x14ac:dyDescent="0.25">
      <c r="A98" s="2" t="s">
        <v>57</v>
      </c>
      <c r="B98" s="10" t="s">
        <v>83</v>
      </c>
      <c r="C98" s="8" t="s">
        <v>92</v>
      </c>
    </row>
    <row r="99" spans="1:4" x14ac:dyDescent="0.25">
      <c r="A99" s="1" t="s">
        <v>100</v>
      </c>
      <c r="B99" s="17">
        <v>651</v>
      </c>
      <c r="C99" s="16">
        <f t="shared" ref="C99:C116" si="10">B99*1.05</f>
        <v>683.55000000000007</v>
      </c>
    </row>
    <row r="100" spans="1:4" x14ac:dyDescent="0.25">
      <c r="A100" s="1" t="s">
        <v>101</v>
      </c>
      <c r="B100" s="17">
        <v>812</v>
      </c>
      <c r="C100" s="16">
        <f t="shared" si="10"/>
        <v>852.6</v>
      </c>
    </row>
    <row r="101" spans="1:4" x14ac:dyDescent="0.25">
      <c r="A101" s="1" t="s">
        <v>103</v>
      </c>
      <c r="B101" s="17">
        <v>837</v>
      </c>
      <c r="C101" s="16">
        <f t="shared" si="10"/>
        <v>878.85</v>
      </c>
    </row>
    <row r="102" spans="1:4" x14ac:dyDescent="0.25">
      <c r="A102" s="1" t="s">
        <v>102</v>
      </c>
      <c r="B102" s="17"/>
      <c r="C102" s="6"/>
    </row>
    <row r="103" spans="1:4" x14ac:dyDescent="0.25">
      <c r="A103" s="1" t="s">
        <v>58</v>
      </c>
      <c r="B103" s="3">
        <v>650.61045504000015</v>
      </c>
      <c r="C103" s="6">
        <f t="shared" si="10"/>
        <v>683.14097779200017</v>
      </c>
    </row>
    <row r="104" spans="1:4" x14ac:dyDescent="0.25">
      <c r="A104" s="1" t="s">
        <v>59</v>
      </c>
      <c r="B104" s="7">
        <v>3.4608487680000009</v>
      </c>
      <c r="C104" s="6">
        <f t="shared" si="10"/>
        <v>3.6338912064000009</v>
      </c>
    </row>
    <row r="105" spans="1:4" x14ac:dyDescent="0.25">
      <c r="A105" s="1" t="s">
        <v>60</v>
      </c>
      <c r="B105" s="7">
        <v>2.7900288</v>
      </c>
      <c r="C105" s="6">
        <f t="shared" si="10"/>
        <v>2.9295302400000001</v>
      </c>
    </row>
    <row r="106" spans="1:4" x14ac:dyDescent="0.25">
      <c r="A106" s="1" t="s">
        <v>61</v>
      </c>
      <c r="B106" s="7">
        <v>2.5571220480000005</v>
      </c>
      <c r="C106" s="6">
        <f t="shared" si="10"/>
        <v>2.6849781504000005</v>
      </c>
    </row>
    <row r="107" spans="1:4" x14ac:dyDescent="0.25">
      <c r="A107" s="1" t="s">
        <v>62</v>
      </c>
      <c r="B107" s="7">
        <v>2.3436241920000005</v>
      </c>
      <c r="C107" s="6">
        <f t="shared" si="10"/>
        <v>2.4608054016000005</v>
      </c>
    </row>
    <row r="108" spans="1:4" x14ac:dyDescent="0.25">
      <c r="A108" s="1" t="s">
        <v>63</v>
      </c>
      <c r="B108" s="7">
        <v>2.3035933440000003</v>
      </c>
      <c r="C108" s="6">
        <f t="shared" si="10"/>
        <v>2.4187730112000003</v>
      </c>
    </row>
    <row r="109" spans="1:4" x14ac:dyDescent="0.25">
      <c r="A109" s="1" t="s">
        <v>64</v>
      </c>
      <c r="B109" s="7">
        <v>2.2720538880000003</v>
      </c>
      <c r="C109" s="6">
        <f t="shared" si="10"/>
        <v>2.3856565824000002</v>
      </c>
    </row>
    <row r="110" spans="1:4" x14ac:dyDescent="0.25">
      <c r="A110" s="1" t="s">
        <v>65</v>
      </c>
      <c r="B110" s="7">
        <v>2.1932052480000004</v>
      </c>
      <c r="C110" s="6">
        <f t="shared" si="10"/>
        <v>2.3028655104000006</v>
      </c>
    </row>
    <row r="111" spans="1:4" x14ac:dyDescent="0.25">
      <c r="A111" s="47" t="s">
        <v>66</v>
      </c>
      <c r="B111" s="48">
        <v>370.90400256000004</v>
      </c>
      <c r="C111" s="49">
        <f t="shared" si="10"/>
        <v>389.44920268800007</v>
      </c>
      <c r="D111" s="47" t="s">
        <v>235</v>
      </c>
    </row>
    <row r="112" spans="1:4" x14ac:dyDescent="0.25">
      <c r="A112" s="47" t="s">
        <v>98</v>
      </c>
      <c r="B112" s="48">
        <v>331</v>
      </c>
      <c r="C112" s="49">
        <f t="shared" si="10"/>
        <v>347.55</v>
      </c>
      <c r="D112" s="47" t="s">
        <v>235</v>
      </c>
    </row>
    <row r="113" spans="1:4" x14ac:dyDescent="0.25">
      <c r="A113" s="47" t="s">
        <v>99</v>
      </c>
      <c r="B113" s="48">
        <v>144</v>
      </c>
      <c r="C113" s="49">
        <f t="shared" si="10"/>
        <v>151.20000000000002</v>
      </c>
      <c r="D113" s="47" t="s">
        <v>235</v>
      </c>
    </row>
    <row r="114" spans="1:4" x14ac:dyDescent="0.25">
      <c r="A114" s="47" t="s">
        <v>67</v>
      </c>
      <c r="B114" s="48">
        <v>377.52728832000008</v>
      </c>
      <c r="C114" s="49">
        <f t="shared" si="10"/>
        <v>396.40365273600008</v>
      </c>
      <c r="D114" s="47" t="s">
        <v>235</v>
      </c>
    </row>
    <row r="115" spans="1:4" x14ac:dyDescent="0.25">
      <c r="A115" s="47" t="s">
        <v>74</v>
      </c>
      <c r="B115" s="48">
        <v>725</v>
      </c>
      <c r="C115" s="50">
        <v>725.25</v>
      </c>
      <c r="D115" s="47" t="s">
        <v>235</v>
      </c>
    </row>
    <row r="116" spans="1:4" x14ac:dyDescent="0.25">
      <c r="A116" s="47" t="s">
        <v>68</v>
      </c>
      <c r="B116" s="48">
        <v>315.39456000000007</v>
      </c>
      <c r="C116" s="49">
        <f t="shared" si="10"/>
        <v>331.16428800000011</v>
      </c>
      <c r="D116" s="47" t="s">
        <v>236</v>
      </c>
    </row>
    <row r="118" spans="1:4" ht="15.6" customHeight="1" x14ac:dyDescent="0.25">
      <c r="A118" s="2" t="s">
        <v>105</v>
      </c>
      <c r="B118" s="10" t="s">
        <v>83</v>
      </c>
      <c r="C118" s="8" t="s">
        <v>92</v>
      </c>
    </row>
    <row r="119" spans="1:4" ht="15.6" customHeight="1" x14ac:dyDescent="0.25">
      <c r="A119" s="19" t="s">
        <v>109</v>
      </c>
      <c r="B119" s="3">
        <v>1640.0517120000002</v>
      </c>
      <c r="C119" s="16">
        <f t="shared" ref="C119:C188" si="11">B119*1.05</f>
        <v>1722.0542976000002</v>
      </c>
    </row>
    <row r="120" spans="1:4" ht="15.6" customHeight="1" x14ac:dyDescent="0.25">
      <c r="A120" s="19" t="s">
        <v>110</v>
      </c>
      <c r="B120" s="3">
        <v>7821.7850880000005</v>
      </c>
      <c r="C120" s="16">
        <f t="shared" si="11"/>
        <v>8212.8743424000004</v>
      </c>
    </row>
    <row r="121" spans="1:4" ht="15.6" customHeight="1" x14ac:dyDescent="0.25">
      <c r="A121" s="19" t="s">
        <v>111</v>
      </c>
      <c r="B121" s="3">
        <v>1387.7360640000002</v>
      </c>
      <c r="C121" s="16">
        <f t="shared" si="11"/>
        <v>1457.1228672000002</v>
      </c>
    </row>
    <row r="122" spans="1:4" ht="15.6" customHeight="1" x14ac:dyDescent="0.25">
      <c r="A122" s="19" t="s">
        <v>112</v>
      </c>
      <c r="B122" s="3">
        <v>883.10476800000015</v>
      </c>
      <c r="C122" s="16">
        <f t="shared" si="11"/>
        <v>927.26000640000018</v>
      </c>
    </row>
    <row r="123" spans="1:4" ht="15.6" customHeight="1" x14ac:dyDescent="0.25">
      <c r="A123" s="19" t="s">
        <v>113</v>
      </c>
      <c r="B123" s="3">
        <v>946.18368000000021</v>
      </c>
      <c r="C123" s="16">
        <f t="shared" si="11"/>
        <v>993.49286400000028</v>
      </c>
    </row>
    <row r="124" spans="1:4" ht="15.6" customHeight="1" x14ac:dyDescent="0.25">
      <c r="A124" s="19" t="s">
        <v>212</v>
      </c>
      <c r="B124" s="34">
        <v>1795</v>
      </c>
      <c r="C124" s="16">
        <v>1885</v>
      </c>
    </row>
    <row r="125" spans="1:4" ht="15.6" customHeight="1" x14ac:dyDescent="0.25">
      <c r="A125" s="19" t="s">
        <v>114</v>
      </c>
      <c r="B125" s="34">
        <v>820.02585600000009</v>
      </c>
      <c r="C125" s="16">
        <f t="shared" si="11"/>
        <v>861.02714880000008</v>
      </c>
    </row>
    <row r="126" spans="1:4" ht="15.6" customHeight="1" x14ac:dyDescent="0.25">
      <c r="A126" s="19" t="s">
        <v>115</v>
      </c>
      <c r="B126" s="3">
        <v>1009.2625920000002</v>
      </c>
      <c r="C126" s="16">
        <f t="shared" si="11"/>
        <v>1059.7257216000003</v>
      </c>
    </row>
    <row r="127" spans="1:4" ht="15.6" customHeight="1" x14ac:dyDescent="0.25">
      <c r="A127" s="19" t="s">
        <v>116</v>
      </c>
      <c r="B127" s="3">
        <v>1513.8938880000003</v>
      </c>
      <c r="C127" s="16">
        <f t="shared" si="11"/>
        <v>1589.5885824000004</v>
      </c>
    </row>
    <row r="128" spans="1:4" ht="15.6" customHeight="1" x14ac:dyDescent="0.25">
      <c r="A128" s="19" t="s">
        <v>117</v>
      </c>
      <c r="B128" s="3">
        <v>1198.4993280000001</v>
      </c>
      <c r="C128" s="16">
        <f t="shared" si="11"/>
        <v>1258.4242944000002</v>
      </c>
    </row>
    <row r="129" spans="1:3" ht="15.6" customHeight="1" x14ac:dyDescent="0.25">
      <c r="A129" s="19" t="s">
        <v>118</v>
      </c>
      <c r="B129" s="3">
        <v>7569.4694400000017</v>
      </c>
      <c r="C129" s="16">
        <f t="shared" si="11"/>
        <v>7947.9429120000023</v>
      </c>
    </row>
    <row r="130" spans="1:3" ht="15.6" customHeight="1" x14ac:dyDescent="0.25">
      <c r="A130" s="19" t="s">
        <v>119</v>
      </c>
      <c r="B130" s="3">
        <v>9840.3102720000006</v>
      </c>
      <c r="C130" s="16">
        <f t="shared" si="11"/>
        <v>10332.325785600002</v>
      </c>
    </row>
    <row r="131" spans="1:3" ht="15.6" customHeight="1" x14ac:dyDescent="0.25">
      <c r="A131" s="19" t="s">
        <v>120</v>
      </c>
      <c r="B131" s="3">
        <v>1640.0517120000002</v>
      </c>
      <c r="C131" s="16">
        <f t="shared" si="11"/>
        <v>1722.0542976000002</v>
      </c>
    </row>
    <row r="132" spans="1:3" ht="15.6" customHeight="1" x14ac:dyDescent="0.25">
      <c r="A132" s="19" t="s">
        <v>121</v>
      </c>
      <c r="B132" s="3">
        <v>946.18368000000021</v>
      </c>
      <c r="C132" s="16">
        <f t="shared" si="11"/>
        <v>993.49286400000028</v>
      </c>
    </row>
    <row r="133" spans="1:3" ht="15.6" customHeight="1" x14ac:dyDescent="0.25">
      <c r="A133" s="19" t="s">
        <v>122</v>
      </c>
      <c r="B133" s="3">
        <v>2901.6299520000007</v>
      </c>
      <c r="C133" s="16">
        <f t="shared" si="11"/>
        <v>3046.7114496000008</v>
      </c>
    </row>
    <row r="134" spans="1:3" ht="15.6" customHeight="1" x14ac:dyDescent="0.25">
      <c r="A134" s="19" t="s">
        <v>123</v>
      </c>
      <c r="B134" s="3">
        <v>1009.2625920000002</v>
      </c>
      <c r="C134" s="16">
        <f t="shared" si="11"/>
        <v>1059.7257216000003</v>
      </c>
    </row>
    <row r="135" spans="1:3" ht="15.6" customHeight="1" x14ac:dyDescent="0.25">
      <c r="A135" s="19" t="s">
        <v>124</v>
      </c>
      <c r="B135" s="3">
        <v>4415.5238400000007</v>
      </c>
      <c r="C135" s="16">
        <f t="shared" si="11"/>
        <v>4636.300032000001</v>
      </c>
    </row>
    <row r="136" spans="1:3" ht="15.6" customHeight="1" x14ac:dyDescent="0.25">
      <c r="A136" s="19" t="s">
        <v>125</v>
      </c>
      <c r="B136" s="3">
        <v>1261.5782400000003</v>
      </c>
      <c r="C136" s="16">
        <f t="shared" si="11"/>
        <v>1324.6571520000005</v>
      </c>
    </row>
    <row r="137" spans="1:3" ht="15.6" customHeight="1" x14ac:dyDescent="0.25">
      <c r="A137" s="19" t="s">
        <v>126</v>
      </c>
      <c r="B137" s="3">
        <v>1387.7360640000002</v>
      </c>
      <c r="C137" s="16">
        <f t="shared" si="11"/>
        <v>1457.1228672000002</v>
      </c>
    </row>
    <row r="138" spans="1:3" ht="15.6" customHeight="1" x14ac:dyDescent="0.25">
      <c r="A138" s="19" t="s">
        <v>127</v>
      </c>
      <c r="B138" s="3">
        <v>1576.9728000000002</v>
      </c>
      <c r="C138" s="16">
        <f t="shared" si="11"/>
        <v>1655.8214400000004</v>
      </c>
    </row>
    <row r="139" spans="1:3" ht="15.6" customHeight="1" x14ac:dyDescent="0.25">
      <c r="A139" s="19" t="s">
        <v>128</v>
      </c>
      <c r="B139" s="3">
        <v>3280.1034240000004</v>
      </c>
      <c r="C139" s="16">
        <f t="shared" si="11"/>
        <v>3444.1085952000003</v>
      </c>
    </row>
    <row r="140" spans="1:3" ht="15.6" customHeight="1" x14ac:dyDescent="0.25">
      <c r="A140" s="19" t="s">
        <v>213</v>
      </c>
      <c r="B140" s="34">
        <v>946</v>
      </c>
      <c r="C140" s="16">
        <f t="shared" si="11"/>
        <v>993.30000000000007</v>
      </c>
    </row>
    <row r="141" spans="1:3" ht="15.6" customHeight="1" x14ac:dyDescent="0.25">
      <c r="A141" s="19" t="s">
        <v>214</v>
      </c>
      <c r="B141" s="34">
        <v>10356</v>
      </c>
      <c r="C141" s="16">
        <f t="shared" si="11"/>
        <v>10873.800000000001</v>
      </c>
    </row>
    <row r="142" spans="1:3" ht="15.6" customHeight="1" x14ac:dyDescent="0.25">
      <c r="A142" s="19" t="s">
        <v>129</v>
      </c>
      <c r="B142" s="3">
        <v>1766.2095360000003</v>
      </c>
      <c r="C142" s="16">
        <f t="shared" si="11"/>
        <v>1854.5200128000004</v>
      </c>
    </row>
    <row r="143" spans="1:3" ht="15.6" customHeight="1" x14ac:dyDescent="0.25">
      <c r="A143" s="19" t="s">
        <v>130</v>
      </c>
      <c r="B143" s="3">
        <v>1766.2095360000003</v>
      </c>
      <c r="C143" s="16">
        <f t="shared" si="11"/>
        <v>1854.5200128000004</v>
      </c>
    </row>
    <row r="144" spans="1:3" ht="15.6" customHeight="1" x14ac:dyDescent="0.25">
      <c r="A144" s="19" t="s">
        <v>131</v>
      </c>
      <c r="B144" s="3">
        <v>3536.0582400000003</v>
      </c>
      <c r="C144" s="16">
        <f t="shared" si="11"/>
        <v>3712.8611520000004</v>
      </c>
    </row>
    <row r="145" spans="1:3" ht="15.6" customHeight="1" x14ac:dyDescent="0.25">
      <c r="A145" s="19" t="s">
        <v>132</v>
      </c>
      <c r="B145" s="3">
        <v>756.94694400000014</v>
      </c>
      <c r="C145" s="16">
        <f t="shared" si="11"/>
        <v>794.7942912000002</v>
      </c>
    </row>
    <row r="146" spans="1:3" ht="15.6" customHeight="1" x14ac:dyDescent="0.25">
      <c r="A146" s="19" t="s">
        <v>133</v>
      </c>
      <c r="B146" s="3">
        <v>1576.9728000000002</v>
      </c>
      <c r="C146" s="16">
        <f t="shared" si="11"/>
        <v>1655.8214400000004</v>
      </c>
    </row>
    <row r="147" spans="1:3" ht="15.6" customHeight="1" x14ac:dyDescent="0.25">
      <c r="A147" s="19" t="s">
        <v>134</v>
      </c>
      <c r="B147" s="3">
        <v>1513.8938880000003</v>
      </c>
      <c r="C147" s="16">
        <f t="shared" si="11"/>
        <v>1589.5885824000004</v>
      </c>
    </row>
    <row r="148" spans="1:3" ht="15.6" customHeight="1" x14ac:dyDescent="0.25">
      <c r="A148" s="19" t="s">
        <v>135</v>
      </c>
      <c r="B148" s="3">
        <v>5046.3129600000011</v>
      </c>
      <c r="C148" s="16">
        <f t="shared" si="11"/>
        <v>5298.6286080000018</v>
      </c>
    </row>
    <row r="149" spans="1:3" ht="15.6" customHeight="1" x14ac:dyDescent="0.25">
      <c r="A149" s="19" t="s">
        <v>136</v>
      </c>
      <c r="B149" s="3">
        <v>6307.8912000000009</v>
      </c>
      <c r="C149" s="16">
        <f t="shared" si="11"/>
        <v>6623.2857600000016</v>
      </c>
    </row>
    <row r="150" spans="1:3" ht="15.6" customHeight="1" x14ac:dyDescent="0.25">
      <c r="A150" s="19" t="s">
        <v>137</v>
      </c>
      <c r="B150" s="3">
        <v>4163.208192000001</v>
      </c>
      <c r="C150" s="16">
        <f t="shared" si="11"/>
        <v>4371.3686016000011</v>
      </c>
    </row>
    <row r="151" spans="1:3" ht="15.6" customHeight="1" x14ac:dyDescent="0.25">
      <c r="A151" s="19" t="s">
        <v>138</v>
      </c>
      <c r="B151" s="3">
        <v>1387.7360640000002</v>
      </c>
      <c r="C151" s="16">
        <f t="shared" si="11"/>
        <v>1457.1228672000002</v>
      </c>
    </row>
    <row r="152" spans="1:3" ht="15.6" customHeight="1" x14ac:dyDescent="0.25">
      <c r="A152" s="19" t="s">
        <v>139</v>
      </c>
      <c r="B152" s="3">
        <v>1072.3415040000002</v>
      </c>
      <c r="C152" s="16">
        <f t="shared" si="11"/>
        <v>1125.9585792000003</v>
      </c>
    </row>
    <row r="153" spans="1:3" ht="15.6" customHeight="1" x14ac:dyDescent="0.25">
      <c r="A153" s="19" t="s">
        <v>140</v>
      </c>
      <c r="B153" s="3">
        <v>1072.3415040000002</v>
      </c>
      <c r="C153" s="16">
        <f t="shared" si="11"/>
        <v>1125.9585792000003</v>
      </c>
    </row>
    <row r="154" spans="1:3" ht="15.6" customHeight="1" x14ac:dyDescent="0.25">
      <c r="A154" s="19" t="s">
        <v>141</v>
      </c>
      <c r="B154" s="3">
        <v>1009.2625920000002</v>
      </c>
      <c r="C154" s="16">
        <f t="shared" si="11"/>
        <v>1059.7257216000003</v>
      </c>
    </row>
    <row r="155" spans="1:3" ht="15.6" customHeight="1" x14ac:dyDescent="0.25">
      <c r="A155" s="19" t="s">
        <v>142</v>
      </c>
      <c r="B155" s="3">
        <v>1198.4993280000001</v>
      </c>
      <c r="C155" s="16">
        <f t="shared" si="11"/>
        <v>1258.4242944000002</v>
      </c>
    </row>
    <row r="156" spans="1:3" ht="15.6" customHeight="1" x14ac:dyDescent="0.25">
      <c r="A156" s="19" t="s">
        <v>143</v>
      </c>
      <c r="B156" s="3">
        <v>1261.5782400000003</v>
      </c>
      <c r="C156" s="16">
        <f t="shared" si="11"/>
        <v>1324.6571520000005</v>
      </c>
    </row>
    <row r="157" spans="1:3" ht="15.6" customHeight="1" x14ac:dyDescent="0.25">
      <c r="A157" s="19" t="s">
        <v>144</v>
      </c>
      <c r="B157" s="3">
        <v>3027.7877760000006</v>
      </c>
      <c r="C157" s="16">
        <f t="shared" si="11"/>
        <v>3179.1771648000008</v>
      </c>
    </row>
    <row r="158" spans="1:3" ht="15.6" customHeight="1" x14ac:dyDescent="0.25">
      <c r="A158" s="19" t="s">
        <v>145</v>
      </c>
      <c r="B158" s="3">
        <v>1387.7360640000002</v>
      </c>
      <c r="C158" s="16">
        <f t="shared" si="11"/>
        <v>1457.1228672000002</v>
      </c>
    </row>
    <row r="159" spans="1:3" ht="15.6" customHeight="1" x14ac:dyDescent="0.25">
      <c r="A159" s="19" t="s">
        <v>146</v>
      </c>
      <c r="B159" s="3">
        <v>3784.7347200000008</v>
      </c>
      <c r="C159" s="16">
        <f t="shared" si="11"/>
        <v>3973.9714560000011</v>
      </c>
    </row>
    <row r="160" spans="1:3" ht="15.6" customHeight="1" x14ac:dyDescent="0.25">
      <c r="A160" s="19" t="s">
        <v>147</v>
      </c>
      <c r="B160" s="3">
        <v>1387.7360640000002</v>
      </c>
      <c r="C160" s="16">
        <f t="shared" si="11"/>
        <v>1457.1228672000002</v>
      </c>
    </row>
    <row r="161" spans="1:3" ht="15.6" customHeight="1" x14ac:dyDescent="0.25">
      <c r="A161" s="19" t="s">
        <v>148</v>
      </c>
      <c r="B161" s="3">
        <v>1513.8938880000003</v>
      </c>
      <c r="C161" s="16">
        <f t="shared" si="11"/>
        <v>1589.5885824000004</v>
      </c>
    </row>
    <row r="162" spans="1:3" ht="15.6" customHeight="1" x14ac:dyDescent="0.25">
      <c r="A162" s="19" t="s">
        <v>149</v>
      </c>
      <c r="B162" s="3">
        <v>2270.8408320000008</v>
      </c>
      <c r="C162" s="16">
        <f t="shared" si="11"/>
        <v>2384.3828736000009</v>
      </c>
    </row>
    <row r="163" spans="1:3" ht="15.6" customHeight="1" x14ac:dyDescent="0.25">
      <c r="A163" s="19" t="s">
        <v>150</v>
      </c>
      <c r="B163" s="3">
        <v>2144.6830080000004</v>
      </c>
      <c r="C163" s="16">
        <f t="shared" si="11"/>
        <v>2251.9171584000005</v>
      </c>
    </row>
    <row r="164" spans="1:3" ht="15.6" customHeight="1" x14ac:dyDescent="0.25">
      <c r="A164" s="19" t="s">
        <v>151</v>
      </c>
      <c r="B164" s="3">
        <v>8371.8332006400015</v>
      </c>
      <c r="C164" s="16">
        <f t="shared" si="11"/>
        <v>8790.4248606720012</v>
      </c>
    </row>
    <row r="165" spans="1:3" ht="15.6" customHeight="1" x14ac:dyDescent="0.25">
      <c r="A165" s="19" t="s">
        <v>152</v>
      </c>
      <c r="B165" s="3">
        <v>3411.0649497600002</v>
      </c>
      <c r="C165" s="16">
        <f t="shared" si="11"/>
        <v>3581.6181972480003</v>
      </c>
    </row>
    <row r="166" spans="1:3" ht="15.6" customHeight="1" x14ac:dyDescent="0.25">
      <c r="A166" s="19" t="s">
        <v>153</v>
      </c>
      <c r="B166" s="3">
        <v>1513.8938880000003</v>
      </c>
      <c r="C166" s="16">
        <f t="shared" si="11"/>
        <v>1589.5885824000004</v>
      </c>
    </row>
    <row r="167" spans="1:3" ht="15.6" customHeight="1" x14ac:dyDescent="0.25">
      <c r="A167" s="19" t="s">
        <v>154</v>
      </c>
      <c r="B167" s="3">
        <v>1576.9728000000002</v>
      </c>
      <c r="C167" s="16">
        <f t="shared" si="11"/>
        <v>1655.8214400000004</v>
      </c>
    </row>
    <row r="168" spans="1:3" ht="15.6" customHeight="1" x14ac:dyDescent="0.25">
      <c r="A168" s="19" t="s">
        <v>155</v>
      </c>
      <c r="B168" s="3">
        <v>4289.3660160000009</v>
      </c>
      <c r="C168" s="16">
        <f t="shared" si="11"/>
        <v>4503.834316800001</v>
      </c>
    </row>
    <row r="169" spans="1:3" ht="15.6" customHeight="1" x14ac:dyDescent="0.25">
      <c r="A169" s="19" t="s">
        <v>156</v>
      </c>
      <c r="B169" s="3">
        <v>7443.3116160000018</v>
      </c>
      <c r="C169" s="16">
        <f t="shared" si="11"/>
        <v>7815.4771968000023</v>
      </c>
    </row>
    <row r="170" spans="1:3" ht="15.6" customHeight="1" x14ac:dyDescent="0.25">
      <c r="A170" s="19" t="s">
        <v>199</v>
      </c>
      <c r="B170" s="34">
        <v>4371</v>
      </c>
      <c r="C170" s="16">
        <f t="shared" si="11"/>
        <v>4589.55</v>
      </c>
    </row>
    <row r="171" spans="1:3" ht="15.6" customHeight="1" x14ac:dyDescent="0.25">
      <c r="A171" s="19" t="s">
        <v>157</v>
      </c>
      <c r="B171" s="3">
        <v>946.18368000000021</v>
      </c>
      <c r="C171" s="16">
        <f t="shared" si="11"/>
        <v>993.49286400000028</v>
      </c>
    </row>
    <row r="172" spans="1:3" ht="15.6" customHeight="1" x14ac:dyDescent="0.25">
      <c r="A172" s="19" t="s">
        <v>158</v>
      </c>
      <c r="B172" s="3">
        <v>3186.1886284800003</v>
      </c>
      <c r="C172" s="16">
        <f t="shared" si="11"/>
        <v>3345.4980599040005</v>
      </c>
    </row>
    <row r="173" spans="1:3" ht="15.6" customHeight="1" x14ac:dyDescent="0.25">
      <c r="A173" s="19" t="s">
        <v>159</v>
      </c>
      <c r="B173" s="3">
        <v>1576.9728000000002</v>
      </c>
      <c r="C173" s="16">
        <f t="shared" si="11"/>
        <v>1655.8214400000004</v>
      </c>
    </row>
    <row r="174" spans="1:3" ht="15.6" customHeight="1" x14ac:dyDescent="0.25">
      <c r="A174" s="19" t="s">
        <v>197</v>
      </c>
      <c r="B174" s="34">
        <v>1831</v>
      </c>
      <c r="C174" s="16">
        <f t="shared" si="11"/>
        <v>1922.5500000000002</v>
      </c>
    </row>
    <row r="175" spans="1:3" ht="15.6" customHeight="1" x14ac:dyDescent="0.25">
      <c r="A175" s="19" t="s">
        <v>160</v>
      </c>
      <c r="B175" s="3">
        <v>1892.3673600000004</v>
      </c>
      <c r="C175" s="16">
        <f t="shared" si="11"/>
        <v>1986.9857280000006</v>
      </c>
    </row>
    <row r="176" spans="1:3" ht="15.6" customHeight="1" x14ac:dyDescent="0.25">
      <c r="A176" s="19" t="s">
        <v>161</v>
      </c>
      <c r="B176" s="3">
        <v>1135.4204160000004</v>
      </c>
      <c r="C176" s="16">
        <f t="shared" si="11"/>
        <v>1192.1914368000005</v>
      </c>
    </row>
    <row r="177" spans="1:3" ht="15.6" customHeight="1" x14ac:dyDescent="0.25">
      <c r="A177" s="19" t="s">
        <v>162</v>
      </c>
      <c r="B177" s="3">
        <v>1387.7360640000002</v>
      </c>
      <c r="C177" s="16">
        <f t="shared" si="11"/>
        <v>1457.1228672000002</v>
      </c>
    </row>
    <row r="178" spans="1:3" ht="15.6" customHeight="1" x14ac:dyDescent="0.25">
      <c r="A178" s="19" t="s">
        <v>163</v>
      </c>
      <c r="B178" s="3">
        <v>1450.8149760000003</v>
      </c>
      <c r="C178" s="16">
        <f t="shared" si="11"/>
        <v>1523.3557248000004</v>
      </c>
    </row>
    <row r="179" spans="1:3" ht="15.6" customHeight="1" x14ac:dyDescent="0.25">
      <c r="A179" s="19" t="s">
        <v>164</v>
      </c>
      <c r="B179" s="3">
        <v>1576.9728000000002</v>
      </c>
      <c r="C179" s="16">
        <f t="shared" si="11"/>
        <v>1655.8214400000004</v>
      </c>
    </row>
    <row r="180" spans="1:3" ht="15.6" customHeight="1" x14ac:dyDescent="0.25">
      <c r="A180" s="19" t="s">
        <v>215</v>
      </c>
      <c r="B180" s="34">
        <v>1989</v>
      </c>
      <c r="C180" s="16">
        <f t="shared" si="11"/>
        <v>2088.4500000000003</v>
      </c>
    </row>
    <row r="181" spans="1:3" ht="15.6" customHeight="1" x14ac:dyDescent="0.25">
      <c r="A181" s="19" t="s">
        <v>165</v>
      </c>
      <c r="B181" s="3">
        <v>1009.2625920000002</v>
      </c>
      <c r="C181" s="16">
        <f t="shared" si="11"/>
        <v>1059.7257216000003</v>
      </c>
    </row>
    <row r="182" spans="1:3" ht="15.6" customHeight="1" x14ac:dyDescent="0.25">
      <c r="A182" s="19" t="s">
        <v>166</v>
      </c>
      <c r="B182" s="3">
        <v>1135.4204160000004</v>
      </c>
      <c r="C182" s="16">
        <f t="shared" si="11"/>
        <v>1192.1914368000005</v>
      </c>
    </row>
    <row r="183" spans="1:3" ht="15.6" customHeight="1" x14ac:dyDescent="0.25">
      <c r="A183" s="19" t="s">
        <v>167</v>
      </c>
      <c r="B183" s="3">
        <v>1576.9728000000002</v>
      </c>
      <c r="C183" s="16">
        <f t="shared" si="11"/>
        <v>1655.8214400000004</v>
      </c>
    </row>
    <row r="184" spans="1:3" ht="15.6" customHeight="1" x14ac:dyDescent="0.25">
      <c r="A184" s="19" t="s">
        <v>168</v>
      </c>
      <c r="B184" s="3">
        <v>1589.5885824000002</v>
      </c>
      <c r="C184" s="16">
        <f t="shared" si="11"/>
        <v>1669.0680115200003</v>
      </c>
    </row>
    <row r="185" spans="1:3" ht="15.6" customHeight="1" x14ac:dyDescent="0.25">
      <c r="A185" s="19" t="s">
        <v>169</v>
      </c>
      <c r="B185" s="3">
        <v>3027.7877760000006</v>
      </c>
      <c r="C185" s="16">
        <f t="shared" si="11"/>
        <v>3179.1771648000008</v>
      </c>
    </row>
    <row r="186" spans="1:3" ht="15.6" customHeight="1" x14ac:dyDescent="0.25">
      <c r="A186" s="19" t="s">
        <v>170</v>
      </c>
      <c r="B186" s="3">
        <v>1387.7360640000002</v>
      </c>
      <c r="C186" s="16">
        <f t="shared" si="11"/>
        <v>1457.1228672000002</v>
      </c>
    </row>
    <row r="187" spans="1:3" ht="15.6" customHeight="1" x14ac:dyDescent="0.25">
      <c r="A187" s="19" t="s">
        <v>171</v>
      </c>
      <c r="B187" s="3">
        <v>1450.8149760000003</v>
      </c>
      <c r="C187" s="16">
        <f t="shared" si="11"/>
        <v>1523.3557248000004</v>
      </c>
    </row>
    <row r="188" spans="1:3" ht="15.6" customHeight="1" x14ac:dyDescent="0.25">
      <c r="A188" s="19" t="s">
        <v>172</v>
      </c>
      <c r="B188" s="3">
        <v>1009.2625920000002</v>
      </c>
      <c r="C188" s="16">
        <f t="shared" si="11"/>
        <v>1059.7257216000003</v>
      </c>
    </row>
    <row r="189" spans="1:3" ht="15.6" customHeight="1" x14ac:dyDescent="0.25">
      <c r="A189" s="19" t="s">
        <v>173</v>
      </c>
      <c r="B189" s="3">
        <v>2270.8408320000008</v>
      </c>
      <c r="C189" s="16">
        <f t="shared" ref="C189:C213" si="12">B189*1.05</f>
        <v>2384.3828736000009</v>
      </c>
    </row>
    <row r="190" spans="1:3" ht="15.6" customHeight="1" x14ac:dyDescent="0.25">
      <c r="A190" s="19" t="s">
        <v>174</v>
      </c>
      <c r="B190" s="3">
        <v>1766.2095360000003</v>
      </c>
      <c r="C190" s="16">
        <f t="shared" si="12"/>
        <v>1854.5200128000004</v>
      </c>
    </row>
    <row r="191" spans="1:3" ht="15.6" customHeight="1" x14ac:dyDescent="0.25">
      <c r="A191" s="19" t="s">
        <v>216</v>
      </c>
      <c r="B191" s="34">
        <v>2806</v>
      </c>
      <c r="C191" s="16">
        <f t="shared" si="12"/>
        <v>2946.3</v>
      </c>
    </row>
    <row r="192" spans="1:3" ht="15.6" customHeight="1" x14ac:dyDescent="0.25">
      <c r="A192" s="19" t="s">
        <v>175</v>
      </c>
      <c r="B192" s="3">
        <v>946.18368000000021</v>
      </c>
      <c r="C192" s="16">
        <f t="shared" si="12"/>
        <v>993.49286400000028</v>
      </c>
    </row>
    <row r="193" spans="1:3" ht="15.6" customHeight="1" x14ac:dyDescent="0.25">
      <c r="A193" s="19" t="s">
        <v>176</v>
      </c>
      <c r="B193" s="3">
        <v>1387.7360640000002</v>
      </c>
      <c r="C193" s="16">
        <f t="shared" si="12"/>
        <v>1457.1228672000002</v>
      </c>
    </row>
    <row r="194" spans="1:3" ht="15.6" customHeight="1" x14ac:dyDescent="0.25">
      <c r="A194" s="19" t="s">
        <v>177</v>
      </c>
      <c r="B194" s="3">
        <v>1766.2095360000003</v>
      </c>
      <c r="C194" s="16">
        <f t="shared" si="12"/>
        <v>1854.5200128000004</v>
      </c>
    </row>
    <row r="195" spans="1:3" ht="15.6" customHeight="1" x14ac:dyDescent="0.25">
      <c r="A195" s="19" t="s">
        <v>178</v>
      </c>
      <c r="B195" s="3">
        <v>946.18368000000021</v>
      </c>
      <c r="C195" s="16">
        <f t="shared" si="12"/>
        <v>993.49286400000028</v>
      </c>
    </row>
    <row r="196" spans="1:3" ht="15.6" customHeight="1" x14ac:dyDescent="0.25">
      <c r="A196" s="19" t="s">
        <v>179</v>
      </c>
      <c r="B196" s="3">
        <v>1261.5782400000003</v>
      </c>
      <c r="C196" s="16">
        <f t="shared" si="12"/>
        <v>1324.6571520000005</v>
      </c>
    </row>
    <row r="197" spans="1:3" ht="15.6" customHeight="1" x14ac:dyDescent="0.25">
      <c r="A197" s="19" t="s">
        <v>180</v>
      </c>
      <c r="B197" s="3">
        <v>946.18368000000021</v>
      </c>
      <c r="C197" s="16">
        <f t="shared" si="12"/>
        <v>993.49286400000028</v>
      </c>
    </row>
    <row r="198" spans="1:3" ht="15.6" customHeight="1" x14ac:dyDescent="0.25">
      <c r="A198" s="19" t="s">
        <v>181</v>
      </c>
      <c r="B198" s="3">
        <v>10092.625920000002</v>
      </c>
      <c r="C198" s="16">
        <f t="shared" si="12"/>
        <v>10597.257216000004</v>
      </c>
    </row>
    <row r="199" spans="1:3" ht="15.6" customHeight="1" x14ac:dyDescent="0.25">
      <c r="A199" s="19" t="s">
        <v>182</v>
      </c>
      <c r="B199" s="3">
        <v>946.18368000000021</v>
      </c>
      <c r="C199" s="16">
        <f t="shared" si="12"/>
        <v>993.49286400000028</v>
      </c>
    </row>
    <row r="200" spans="1:3" ht="15.6" customHeight="1" x14ac:dyDescent="0.25">
      <c r="A200" s="19" t="s">
        <v>183</v>
      </c>
      <c r="B200" s="3">
        <v>946.18368000000021</v>
      </c>
      <c r="C200" s="16">
        <f t="shared" si="12"/>
        <v>993.49286400000028</v>
      </c>
    </row>
    <row r="201" spans="1:3" ht="15.6" customHeight="1" x14ac:dyDescent="0.25">
      <c r="A201" s="19" t="s">
        <v>217</v>
      </c>
      <c r="B201" s="34">
        <v>2902</v>
      </c>
      <c r="C201" s="16">
        <f t="shared" si="12"/>
        <v>3047.1</v>
      </c>
    </row>
    <row r="202" spans="1:3" ht="15.6" customHeight="1" x14ac:dyDescent="0.25">
      <c r="A202" s="19" t="s">
        <v>184</v>
      </c>
      <c r="B202" s="3">
        <v>1513.8938880000003</v>
      </c>
      <c r="C202" s="16">
        <f t="shared" si="12"/>
        <v>1589.5885824000004</v>
      </c>
    </row>
    <row r="203" spans="1:3" ht="15.6" customHeight="1" x14ac:dyDescent="0.25">
      <c r="A203" s="19" t="s">
        <v>185</v>
      </c>
      <c r="B203" s="3">
        <v>1513.8938880000003</v>
      </c>
      <c r="C203" s="16">
        <f t="shared" si="12"/>
        <v>1589.5885824000004</v>
      </c>
    </row>
    <row r="204" spans="1:3" ht="15.6" customHeight="1" x14ac:dyDescent="0.25">
      <c r="A204" s="19" t="s">
        <v>186</v>
      </c>
      <c r="B204" s="3">
        <v>1513.8938880000003</v>
      </c>
      <c r="C204" s="16">
        <f t="shared" si="12"/>
        <v>1589.5885824000004</v>
      </c>
    </row>
    <row r="205" spans="1:3" ht="15.6" customHeight="1" x14ac:dyDescent="0.25">
      <c r="A205" s="19" t="s">
        <v>187</v>
      </c>
      <c r="B205" s="3">
        <v>1261.5782400000003</v>
      </c>
      <c r="C205" s="16">
        <f t="shared" si="12"/>
        <v>1324.6571520000005</v>
      </c>
    </row>
    <row r="206" spans="1:3" ht="15.6" customHeight="1" x14ac:dyDescent="0.25">
      <c r="A206" s="19" t="s">
        <v>218</v>
      </c>
      <c r="B206" s="34">
        <v>1262</v>
      </c>
      <c r="C206" s="16">
        <f t="shared" si="12"/>
        <v>1325.1000000000001</v>
      </c>
    </row>
    <row r="207" spans="1:3" ht="15.6" customHeight="1" x14ac:dyDescent="0.25">
      <c r="A207" s="19" t="s">
        <v>188</v>
      </c>
      <c r="B207" s="34">
        <v>1009.2625920000002</v>
      </c>
      <c r="C207" s="16">
        <f t="shared" si="12"/>
        <v>1059.7257216000003</v>
      </c>
    </row>
    <row r="208" spans="1:3" ht="15.6" customHeight="1" x14ac:dyDescent="0.25">
      <c r="A208" s="19" t="s">
        <v>189</v>
      </c>
      <c r="B208" s="34">
        <v>1576.9728000000002</v>
      </c>
      <c r="C208" s="16">
        <f t="shared" si="12"/>
        <v>1655.8214400000004</v>
      </c>
    </row>
    <row r="209" spans="1:3" ht="15.6" customHeight="1" x14ac:dyDescent="0.25">
      <c r="A209" s="19" t="s">
        <v>190</v>
      </c>
      <c r="B209" s="34">
        <v>1198.4993280000001</v>
      </c>
      <c r="C209" s="16">
        <f t="shared" si="12"/>
        <v>1258.4242944000002</v>
      </c>
    </row>
    <row r="210" spans="1:3" ht="15.6" customHeight="1" x14ac:dyDescent="0.25">
      <c r="A210" s="19" t="s">
        <v>191</v>
      </c>
      <c r="B210" s="34">
        <v>946.18368000000021</v>
      </c>
      <c r="C210" s="16">
        <f t="shared" si="12"/>
        <v>993.49286400000028</v>
      </c>
    </row>
    <row r="211" spans="1:3" ht="15.6" customHeight="1" x14ac:dyDescent="0.25">
      <c r="A211" s="19" t="s">
        <v>192</v>
      </c>
      <c r="B211" s="34">
        <v>1766.2095360000003</v>
      </c>
      <c r="C211" s="16">
        <f t="shared" si="12"/>
        <v>1854.5200128000004</v>
      </c>
    </row>
    <row r="212" spans="1:3" ht="15.6" customHeight="1" x14ac:dyDescent="0.25">
      <c r="A212" s="19" t="s">
        <v>219</v>
      </c>
      <c r="B212" s="34">
        <v>1759</v>
      </c>
      <c r="C212" s="16">
        <f t="shared" si="12"/>
        <v>1846.95</v>
      </c>
    </row>
    <row r="213" spans="1:3" ht="15.6" customHeight="1" x14ac:dyDescent="0.25">
      <c r="A213" s="19" t="s">
        <v>220</v>
      </c>
      <c r="B213" s="34">
        <v>2002</v>
      </c>
      <c r="C213" s="16">
        <f t="shared" si="12"/>
        <v>2102.1</v>
      </c>
    </row>
    <row r="214" spans="1:3" ht="15.6" customHeight="1" x14ac:dyDescent="0.25">
      <c r="A214" s="19" t="s">
        <v>193</v>
      </c>
      <c r="B214" s="34">
        <v>656.67</v>
      </c>
      <c r="C214" s="6">
        <v>687.25</v>
      </c>
    </row>
    <row r="215" spans="1:3" ht="15.6" customHeight="1" x14ac:dyDescent="0.25">
      <c r="A215" s="19" t="s">
        <v>3</v>
      </c>
      <c r="B215" s="34">
        <v>656.67</v>
      </c>
      <c r="C215" s="6">
        <v>687.25</v>
      </c>
    </row>
    <row r="216" spans="1:3" ht="15.6" customHeight="1" x14ac:dyDescent="0.25">
      <c r="A216" s="19" t="s">
        <v>194</v>
      </c>
      <c r="B216" s="34">
        <v>656.67</v>
      </c>
      <c r="C216" s="6">
        <v>687.25</v>
      </c>
    </row>
    <row r="217" spans="1:3" x14ac:dyDescent="0.25">
      <c r="B217" s="34"/>
    </row>
    <row r="218" spans="1:3" x14ac:dyDescent="0.25">
      <c r="A218" s="2" t="s">
        <v>8</v>
      </c>
      <c r="B218" s="52" t="s">
        <v>83</v>
      </c>
      <c r="C218" s="8" t="s">
        <v>92</v>
      </c>
    </row>
    <row r="219" spans="1:3" x14ac:dyDescent="0.25">
      <c r="A219" s="1" t="s">
        <v>6</v>
      </c>
      <c r="B219" s="34">
        <v>1009.2625920000002</v>
      </c>
      <c r="C219" s="16">
        <f t="shared" ref="C219:C247" si="13">B219*1.05</f>
        <v>1059.7257216000003</v>
      </c>
    </row>
    <row r="220" spans="1:3" x14ac:dyDescent="0.25">
      <c r="A220" s="1" t="s">
        <v>9</v>
      </c>
      <c r="B220" s="34">
        <v>1211.1151104000003</v>
      </c>
      <c r="C220" s="16">
        <f t="shared" si="13"/>
        <v>1271.6708659200003</v>
      </c>
    </row>
    <row r="221" spans="1:3" x14ac:dyDescent="0.25">
      <c r="A221" s="1" t="s">
        <v>195</v>
      </c>
      <c r="B221" s="34">
        <v>1245.2262451200002</v>
      </c>
      <c r="C221" s="16">
        <f t="shared" si="13"/>
        <v>1307.4875573760003</v>
      </c>
    </row>
    <row r="222" spans="1:3" x14ac:dyDescent="0.25">
      <c r="A222" s="1" t="s">
        <v>196</v>
      </c>
      <c r="B222" s="3">
        <v>1293.1176960000003</v>
      </c>
      <c r="C222" s="16">
        <f t="shared" si="13"/>
        <v>1357.7735808000002</v>
      </c>
    </row>
    <row r="223" spans="1:3" x14ac:dyDescent="0.25">
      <c r="A223" s="1" t="s">
        <v>158</v>
      </c>
      <c r="B223" s="3">
        <v>1375.1202816000002</v>
      </c>
      <c r="C223" s="16">
        <f t="shared" si="13"/>
        <v>1443.8762956800003</v>
      </c>
    </row>
    <row r="224" spans="1:3" x14ac:dyDescent="0.25">
      <c r="A224" s="1" t="s">
        <v>197</v>
      </c>
      <c r="B224" s="3">
        <v>1665.2832768000003</v>
      </c>
      <c r="C224" s="16">
        <f t="shared" si="13"/>
        <v>1748.5474406400003</v>
      </c>
    </row>
    <row r="225" spans="1:17" x14ac:dyDescent="0.25">
      <c r="A225" s="1" t="s">
        <v>198</v>
      </c>
      <c r="B225" s="3">
        <v>1816.6726656000001</v>
      </c>
      <c r="C225" s="16">
        <f t="shared" si="13"/>
        <v>1907.5062988800003</v>
      </c>
    </row>
    <row r="226" spans="1:17" x14ac:dyDescent="0.25">
      <c r="A226" s="1" t="s">
        <v>199</v>
      </c>
      <c r="B226" s="3">
        <v>2964.7088640000011</v>
      </c>
      <c r="C226" s="16">
        <f t="shared" si="13"/>
        <v>3112.9443072000013</v>
      </c>
    </row>
    <row r="227" spans="1:17" x14ac:dyDescent="0.25">
      <c r="A227" s="1" t="s">
        <v>200</v>
      </c>
      <c r="B227" s="34">
        <v>1564.3934092800005</v>
      </c>
      <c r="C227" s="16">
        <f t="shared" si="13"/>
        <v>1642.6130797440005</v>
      </c>
    </row>
    <row r="228" spans="1:17" x14ac:dyDescent="0.25">
      <c r="A228" s="1" t="s">
        <v>201</v>
      </c>
      <c r="B228" s="34">
        <v>4547.9895552000007</v>
      </c>
      <c r="C228" s="16">
        <f t="shared" si="13"/>
        <v>4775.3890329600008</v>
      </c>
    </row>
    <row r="229" spans="1:17" x14ac:dyDescent="0.25">
      <c r="A229" s="1" t="s">
        <v>202</v>
      </c>
      <c r="B229" s="34">
        <v>2711.6289907200003</v>
      </c>
      <c r="C229" s="16">
        <f t="shared" si="13"/>
        <v>2847.2104402560003</v>
      </c>
    </row>
    <row r="230" spans="1:17" x14ac:dyDescent="0.25">
      <c r="A230" s="1" t="s">
        <v>203</v>
      </c>
      <c r="B230" s="34">
        <v>1581.7765017600004</v>
      </c>
      <c r="C230" s="16">
        <f t="shared" si="13"/>
        <v>1660.8653268480004</v>
      </c>
    </row>
    <row r="231" spans="1:17" x14ac:dyDescent="0.25">
      <c r="A231" s="1" t="s">
        <v>204</v>
      </c>
      <c r="B231" s="34">
        <v>1894.6600358400003</v>
      </c>
      <c r="C231" s="16">
        <f t="shared" si="13"/>
        <v>1989.3930376320004</v>
      </c>
    </row>
    <row r="232" spans="1:17" x14ac:dyDescent="0.25">
      <c r="A232" s="1" t="s">
        <v>190</v>
      </c>
      <c r="B232" s="34">
        <v>2340.2276352000003</v>
      </c>
      <c r="C232" s="16">
        <f t="shared" si="13"/>
        <v>2457.2390169600003</v>
      </c>
    </row>
    <row r="233" spans="1:17" x14ac:dyDescent="0.25">
      <c r="A233" s="1" t="s">
        <v>153</v>
      </c>
      <c r="B233" s="34">
        <v>1685.4685286400004</v>
      </c>
      <c r="C233" s="16">
        <f t="shared" si="13"/>
        <v>1769.7419550720006</v>
      </c>
    </row>
    <row r="234" spans="1:17" x14ac:dyDescent="0.25">
      <c r="A234" s="1" t="s">
        <v>205</v>
      </c>
      <c r="B234" s="34">
        <v>999.36405504000015</v>
      </c>
      <c r="C234" s="16">
        <f t="shared" si="13"/>
        <v>1049.3322577920003</v>
      </c>
    </row>
    <row r="235" spans="1:17" x14ac:dyDescent="0.25">
      <c r="A235" s="1" t="s">
        <v>206</v>
      </c>
      <c r="B235" s="34">
        <v>1984.2684825600002</v>
      </c>
      <c r="C235" s="16">
        <f t="shared" si="13"/>
        <v>2083.4819066880004</v>
      </c>
    </row>
    <row r="236" spans="1:17" x14ac:dyDescent="0.25">
      <c r="A236" s="1" t="s">
        <v>207</v>
      </c>
      <c r="B236" s="34">
        <v>1375.1202816000002</v>
      </c>
      <c r="C236" s="16">
        <f t="shared" si="13"/>
        <v>1443.8762956800003</v>
      </c>
      <c r="P236" s="30" t="s">
        <v>229</v>
      </c>
      <c r="Q236" s="30" t="s">
        <v>230</v>
      </c>
    </row>
    <row r="237" spans="1:17" x14ac:dyDescent="0.25">
      <c r="A237" s="31" t="s">
        <v>151</v>
      </c>
      <c r="B237" s="53">
        <v>8207.1818552195127</v>
      </c>
      <c r="C237" s="33">
        <f t="shared" si="13"/>
        <v>8617.5409479804894</v>
      </c>
    </row>
    <row r="238" spans="1:17" x14ac:dyDescent="0.25">
      <c r="A238" s="1" t="s">
        <v>145</v>
      </c>
      <c r="B238" s="34">
        <v>2091.3085440000004</v>
      </c>
      <c r="C238" s="16">
        <f t="shared" si="13"/>
        <v>2195.8739712000006</v>
      </c>
    </row>
    <row r="239" spans="1:17" x14ac:dyDescent="0.25">
      <c r="A239" s="1" t="s">
        <v>208</v>
      </c>
      <c r="B239" s="34">
        <v>2398.2117120000003</v>
      </c>
      <c r="C239" s="16">
        <f t="shared" si="13"/>
        <v>2518.1222976000004</v>
      </c>
    </row>
    <row r="240" spans="1:17" x14ac:dyDescent="0.25">
      <c r="A240" s="1" t="s">
        <v>209</v>
      </c>
      <c r="B240" s="34">
        <v>4825.5367680000008</v>
      </c>
      <c r="C240" s="16">
        <f t="shared" si="13"/>
        <v>5066.8136064000009</v>
      </c>
    </row>
    <row r="241" spans="1:3" x14ac:dyDescent="0.25">
      <c r="A241" s="1" t="s">
        <v>168</v>
      </c>
      <c r="B241" s="34">
        <v>2415.1944960000001</v>
      </c>
      <c r="C241" s="16">
        <f t="shared" si="13"/>
        <v>2535.9542208000003</v>
      </c>
    </row>
    <row r="242" spans="1:3" x14ac:dyDescent="0.25">
      <c r="A242" s="1" t="s">
        <v>210</v>
      </c>
      <c r="B242" s="34">
        <v>1807.7445734400003</v>
      </c>
      <c r="C242" s="16">
        <f t="shared" si="13"/>
        <v>1898.1318021120003</v>
      </c>
    </row>
    <row r="243" spans="1:3" x14ac:dyDescent="0.25">
      <c r="A243" s="1" t="s">
        <v>225</v>
      </c>
      <c r="B243" s="34">
        <v>1233</v>
      </c>
      <c r="C243" s="16">
        <f t="shared" si="13"/>
        <v>1294.6500000000001</v>
      </c>
    </row>
    <row r="244" spans="1:3" x14ac:dyDescent="0.25">
      <c r="A244" s="1" t="s">
        <v>226</v>
      </c>
      <c r="B244" s="34">
        <v>1339</v>
      </c>
      <c r="C244" s="16">
        <f t="shared" si="13"/>
        <v>1405.95</v>
      </c>
    </row>
    <row r="245" spans="1:3" x14ac:dyDescent="0.25">
      <c r="A245" s="1" t="s">
        <v>227</v>
      </c>
      <c r="B245" s="34">
        <v>2013</v>
      </c>
      <c r="C245" s="16">
        <f t="shared" si="13"/>
        <v>2113.65</v>
      </c>
    </row>
    <row r="246" spans="1:3" x14ac:dyDescent="0.25">
      <c r="A246" s="1" t="s">
        <v>194</v>
      </c>
      <c r="B246" s="3">
        <v>656.67</v>
      </c>
      <c r="C246" s="6">
        <v>687.25</v>
      </c>
    </row>
    <row r="247" spans="1:3" x14ac:dyDescent="0.25">
      <c r="A247" s="1" t="s">
        <v>10</v>
      </c>
      <c r="B247" s="3">
        <v>79.47942912000002</v>
      </c>
      <c r="C247" s="16">
        <f t="shared" si="13"/>
        <v>83.453400576000021</v>
      </c>
    </row>
    <row r="248" spans="1:3" x14ac:dyDescent="0.25">
      <c r="A248" s="1" t="s">
        <v>3</v>
      </c>
      <c r="B248" s="3">
        <v>656.67</v>
      </c>
      <c r="C248" s="6">
        <v>687.25</v>
      </c>
    </row>
  </sheetData>
  <mergeCells count="2">
    <mergeCell ref="A1:B1"/>
    <mergeCell ref="A2:B2"/>
  </mergeCells>
  <pageMargins left="0.70866141732283472" right="0.70866141732283472" top="0.74803149606299213" bottom="0.74803149606299213" header="0.31496062992125984" footer="0.31496062992125984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FLA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Lee</dc:creator>
  <cp:lastModifiedBy>USUARIO-112</cp:lastModifiedBy>
  <cp:lastPrinted>2024-03-25T18:06:47Z</cp:lastPrinted>
  <dcterms:created xsi:type="dcterms:W3CDTF">2024-03-18T16:52:42Z</dcterms:created>
  <dcterms:modified xsi:type="dcterms:W3CDTF">2024-10-28T22:53:08Z</dcterms:modified>
</cp:coreProperties>
</file>