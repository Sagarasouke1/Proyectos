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"/>
    </mc:Choice>
  </mc:AlternateContent>
  <xr:revisionPtr revIDLastSave="0" documentId="13_ncr:1_{A42C5B9B-367A-4568-8DD7-4EE4CA5D6AD8}" xr6:coauthVersionLast="47" xr6:coauthVersionMax="47" xr10:uidLastSave="{00000000-0000-0000-0000-000000000000}"/>
  <bookViews>
    <workbookView xWindow="28680" yWindow="-120" windowWidth="29040" windowHeight="15840" activeTab="1" xr2:uid="{50818940-C7CE-4E6A-B02B-F16313C72103}"/>
  </bookViews>
  <sheets>
    <sheet name="QA DEV" sheetId="4" r:id="rId1"/>
    <sheet name="QA local" sheetId="1" r:id="rId2"/>
    <sheet name="verificaciondeNames" sheetId="3" r:id="rId3"/>
    <sheet name="pruebas de ejecucion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4" l="1"/>
  <c r="D40" i="4"/>
  <c r="G85" i="1"/>
  <c r="D85" i="1"/>
</calcChain>
</file>

<file path=xl/sharedStrings.xml><?xml version="1.0" encoding="utf-8"?>
<sst xmlns="http://schemas.openxmlformats.org/spreadsheetml/2006/main" count="677" uniqueCount="275">
  <si>
    <t>ECODOC</t>
  </si>
  <si>
    <t>Exitoso</t>
  </si>
  <si>
    <t>se verifica que el cambio no haga afectado toda la aplicacion y otros modulos</t>
  </si>
  <si>
    <t>-</t>
  </si>
  <si>
    <t>ver sueldos</t>
  </si>
  <si>
    <t>se verifica que el modulo se despliegue y muestre datos</t>
  </si>
  <si>
    <t>no encontraba la vista por que tenia la inicial con mayuscula y no encontraba el modelo por el mismo tema</t>
  </si>
  <si>
    <t>crear sueldo</t>
  </si>
  <si>
    <t>se verifica que permita crear un sueldo</t>
  </si>
  <si>
    <t>editar sueldo</t>
  </si>
  <si>
    <t>se verifica que permita editar un registro de la tabla</t>
  </si>
  <si>
    <t>no encontraba la vista de editar por la mayuscula</t>
  </si>
  <si>
    <t>ver vales relacionados</t>
  </si>
  <si>
    <t>no encontraba la vista por la inicial en su nombre en mayusculas</t>
  </si>
  <si>
    <t>crear vale relacionado</t>
  </si>
  <si>
    <t>se verificaq que permita crear una relacion y se desplieguen los listados necesarios</t>
  </si>
  <si>
    <t>error en el nombre del Js y en el nombre del controlador por lo que no se mostraba y no retornaba correctamente la informacion</t>
  </si>
  <si>
    <t>editar vale relacionado</t>
  </si>
  <si>
    <t>ver solicitud de vales</t>
  </si>
  <si>
    <t>se verifica que se despliegue e muestre informacion de las solicitudes</t>
  </si>
  <si>
    <t>no encontraba la vista que despliega la informacion</t>
  </si>
  <si>
    <t>asignar vale a la solicitud</t>
  </si>
  <si>
    <t>se verifica que este funcionando el boton de asignacion de vales</t>
  </si>
  <si>
    <t>no encontraba la vista y no estaba actualizado el modelo del archivo movido</t>
  </si>
  <si>
    <t>editar vale solicitado</t>
  </si>
  <si>
    <t>se verifica que tenga funcionamiento el boton de editar y realmente haga las ediciones</t>
  </si>
  <si>
    <t>autorizar vale</t>
  </si>
  <si>
    <t>se verifica el funcionamiento del boton de autorizar y que permita y no permita autorizar respecto a los perfiles y permisos otorgados</t>
  </si>
  <si>
    <t>vista que despliega vales solicitados</t>
  </si>
  <si>
    <t>se verifica que regresa la misma cantidad que la tabla vales_solicitud</t>
  </si>
  <si>
    <t>no regresaba la misma cantidad por el campo n_viaje por las pruebas este campo se asigno un numero enorme lo cual no sostuvo sql</t>
  </si>
  <si>
    <t>vista para asignar los vales</t>
  </si>
  <si>
    <t>se verifica que exista y que tenga informacion de las tablas existentes</t>
  </si>
  <si>
    <t>tenia mayusculas su nombre y se cambiaron a minusculas</t>
  </si>
  <si>
    <t>Libreria SweetAlert</t>
  </si>
  <si>
    <t>se verifica que este mostrando las alarmas correctamente y no aparezcan errores en consola</t>
  </si>
  <si>
    <t>se estaba regresando como js cuando debia de ser css</t>
  </si>
  <si>
    <t>SCP-MOVIL</t>
  </si>
  <si>
    <t>envio de vale</t>
  </si>
  <si>
    <t>2 envios por los 2 dispositivos que se tienen</t>
  </si>
  <si>
    <t>errores por codigo de la api que no se habia actualizado</t>
  </si>
  <si>
    <t>lista de vales</t>
  </si>
  <si>
    <t>se verifica que se despliguen la cantidad de viajes y vales que se hayan realizado</t>
  </si>
  <si>
    <t>no se actualiza de inmediato despues de haver enviado</t>
  </si>
  <si>
    <t>no mostrar de otros operadores</t>
  </si>
  <si>
    <t>no se visualiza la informacion entre los distintos operadores</t>
  </si>
  <si>
    <t>no excepcion o errores al mostrar</t>
  </si>
  <si>
    <t>funcionamiento general</t>
  </si>
  <si>
    <t>peticiones simultaneas</t>
  </si>
  <si>
    <t>limpieza de basura / pausa app</t>
  </si>
  <si>
    <t>fallido</t>
  </si>
  <si>
    <t>permite escribir donde esta el vale y cambiar el nombre</t>
  </si>
  <si>
    <t>SCP-DEV ECODOC</t>
  </si>
  <si>
    <t>dev no esta desplegando todas las solicitudes</t>
  </si>
  <si>
    <t>no muestra 4 registros</t>
  </si>
  <si>
    <t>dev si cambia el n_viaje de la ci no cambia el n_viaje de vales solicitud</t>
  </si>
  <si>
    <t>no cambia el numero de viaje por lo que no se refleja en el android y puede provocar lo de arriba</t>
  </si>
  <si>
    <t>sugerencia</t>
  </si>
  <si>
    <t>no permite asignar ni editar , se queda trabado</t>
  </si>
  <si>
    <t>se cancelaron unas solicitudes y no se eliminaron de la vista</t>
  </si>
  <si>
    <t>exitoso</t>
  </si>
  <si>
    <t>Tarea</t>
  </si>
  <si>
    <t>Fecha</t>
  </si>
  <si>
    <t>Nombre</t>
  </si>
  <si>
    <t>Resultado</t>
  </si>
  <si>
    <t>Descripcion</t>
  </si>
  <si>
    <t>Errores</t>
  </si>
  <si>
    <t>Descripcion Errores</t>
  </si>
  <si>
    <t>Mov. Autorizado</t>
  </si>
  <si>
    <t>SCP-MOVIL ECODOC</t>
  </si>
  <si>
    <t>se ajusta diseño (dimensiones de la solicitud de vale en el android)</t>
  </si>
  <si>
    <t>proceso de firams agregar que siempre se visualize el area que le toca y ademas el nombre</t>
  </si>
  <si>
    <t>se verifica que permita agregar cuando todavia tiene oportunidades de registros</t>
  </si>
  <si>
    <t>Cant.Prueba</t>
  </si>
  <si>
    <t>no permitia registrar debido a que tambien estaba contando las que no se reconocian como altas especiales</t>
  </si>
  <si>
    <t>falla en la condicional de 2-3 firmas permitidas</t>
  </si>
  <si>
    <t>se verifica que se pidan y se necesiten mas de una cantida de firmas cuando es requerido</t>
  </si>
  <si>
    <t>listado de vales</t>
  </si>
  <si>
    <t>validaciones de firmas</t>
  </si>
  <si>
    <t>verificacion de altas especiales</t>
  </si>
  <si>
    <t>diseno movil</t>
  </si>
  <si>
    <t>moviles de la compania el teclado tapaba el boton de enviar</t>
  </si>
  <si>
    <t xml:space="preserve">desfase de actualizacion de viajes </t>
  </si>
  <si>
    <t>se verifica que pasa si cambian el numero de viaje cuando ya se registro el numero de viaje  en las solicitudes</t>
  </si>
  <si>
    <t>asignar y editar vale solicitud</t>
  </si>
  <si>
    <t>se verifica que despues de lso cambios siga normal el funcionamiento general de vales operativos</t>
  </si>
  <si>
    <t>eliminar el mensaje de bugueo de apis y demas</t>
  </si>
  <si>
    <t>opcional</t>
  </si>
  <si>
    <t>no mostraba nada o cuando era el mismo vale lo mostraba para todos</t>
  </si>
  <si>
    <t xml:space="preserve">puesto que se necesita para firmar </t>
  </si>
  <si>
    <t>Numero Total de registros que aguanta DEV</t>
  </si>
  <si>
    <t>Numero Total de registros que aguanta movil</t>
  </si>
  <si>
    <t>cambio de N_viaje</t>
  </si>
  <si>
    <t>N_viaje differente a CI</t>
  </si>
  <si>
    <t>verificar</t>
  </si>
  <si>
    <t>sin embargo aunque escriban el vale se va tal cual se eligio</t>
  </si>
  <si>
    <t>permiso de escritura searchview</t>
  </si>
  <si>
    <t>reflejos de detalle del vale</t>
  </si>
  <si>
    <t xml:space="preserve">se verifica que en cuanto se actualize informacion del vale solicitado se vea en el celular </t>
  </si>
  <si>
    <t>solamente se refleja si se van hasta el listado de viajes y regresan</t>
  </si>
  <si>
    <t>se verifica que al usarse exageradamente rapida  y busca si truena o no</t>
  </si>
  <si>
    <t>de tiene la app y aveces te saca de la app, retiene de 1 a 5 objetos</t>
  </si>
  <si>
    <t>visitar hoja de pruebas de ejecucion</t>
  </si>
  <si>
    <t xml:space="preserve">pruebas con computadora y internet local.
datos aleatorios y en desarollo con cache y sin cache 
para 120 registros - 100 pendientes 
firefox 1.87s, 1.86s,1.79s,1.86s,1.73s,1.72s.
chrome  1.87s,1.95s,1.87s,1.99s,1.90s
edge sin definir
para 320 registros - 300 pendientes
firefox 3.21s,3.04s,3.08s,3.01s,3s
chrome  3.08s,3.51s,3.32s,3.30s,3.19s
edge sin definir 
para 400 registros - 175 pendientes 232 N/autorizados
firefox 2.89s,3.08s,2.83s,2.72s,2.98s
chrome  2.79s,2.85s,2.83s,2.79s,2.82s
edge sin definir 
para casi 500 registros entre autorizados y pendientes 
firefox 6s , 3s ,3s ,3s
edge demasiado por cache.
chrome  casi 3s, casi 3s, casi 3s 
para 915 registros - visualizar solamente casi 700 
firefox  6.15s , 6.12s, 5.88s , 6.55s , 5.91s 
chrome 6.26s, 6.04s, 5.61s, 5.64s, 5.85s
edge sin definir, fallas con cache.
precartasdom
firefox  4.75s,3.76s,4.05s,3.83s,3.85s
chrome 4.41s,4.27s,4.35s,4.23,4.07s
notificaciones de 4s a 5s </t>
  </si>
  <si>
    <t xml:space="preserve">para movil y dev 
para 700 registros pendientes 
firefox 4.63s,3.15s,3.24s,3.73s,2.57s
chrome 3.64s,3.50s,3.58s,3.73s,3.51s
traer 100 registros en menos de 1s 
traer mas de 400 registros en menos de 1s </t>
  </si>
  <si>
    <t>posible mejora</t>
  </si>
  <si>
    <t>Funcionamiento general movil</t>
  </si>
  <si>
    <t>mostrar el listado de autorizados una vez que le des click a la pestana o tipo tabla filtrado</t>
  </si>
  <si>
    <t>otras areas pueden ver cat. Vales</t>
  </si>
  <si>
    <t>se verifica que solamente administradores y  liquidaciones pueda ver el catalogo de vales</t>
  </si>
  <si>
    <t xml:space="preserve">se verifica que no puedan acceder por la URL </t>
  </si>
  <si>
    <t>se verifica que si se copea la url solo deje visualizar e ingresar los que tienen privilegios</t>
  </si>
  <si>
    <t>visualizar Ecodoc</t>
  </si>
  <si>
    <t>se verifica que los administradores vean, cat vales, sueldos, relaciones vales-sueldos, evidencias viajes, vales operativos, vales autores.  Y liquidaciones tambien, gerentes con excepciones y evidencias algunos</t>
  </si>
  <si>
    <t>CRUD liquidaciones</t>
  </si>
  <si>
    <t>pendiente</t>
  </si>
  <si>
    <t>se verifica que pueda insertar,editar y eliminar liquidaciones vales</t>
  </si>
  <si>
    <t>no permite editar. Solucion recargar despues de haber editado.</t>
  </si>
  <si>
    <t>error backend</t>
  </si>
  <si>
    <t>Observaciones</t>
  </si>
  <si>
    <t>Pruebas de Proceso</t>
  </si>
  <si>
    <t>eliminar campo forma del catalogo de vales es redundante y no eficiente</t>
  </si>
  <si>
    <t>mostrar vale nuevo movil</t>
  </si>
  <si>
    <t>una vez que se haya insertado el vale que se muestre en el listado de vales disponibles en el movil</t>
  </si>
  <si>
    <t>CRUD  liquidaciones</t>
  </si>
  <si>
    <t>se verifica que pueda insertar,editar y eliminar liquidaciones sueldos</t>
  </si>
  <si>
    <t>se verifica que pueda insertar,editar y eliminar liquidaciones  vales y sueldos</t>
  </si>
  <si>
    <t>relacionar vale y sueldo</t>
  </si>
  <si>
    <t>se verifica que se pueda relacionar un vale gasto con sueldo tipo sueldo?</t>
  </si>
  <si>
    <t>cambiar los listados de relacion vale y sueldo a los de pestana olvidados de vales solicitados</t>
  </si>
  <si>
    <t>muestra listado incluso los que fueron borrados. se inserto el registro pero no lo puso como activo</t>
  </si>
  <si>
    <t>validaciones CRUD</t>
  </si>
  <si>
    <t>se verifica que se valide el insertar todos los campos y el tipo de dato correspondiente</t>
  </si>
  <si>
    <t>sugerir solamente en clasificacion para vales y sueldo las 2 opciones (Sueldo,Gasto)</t>
  </si>
  <si>
    <t>sugerir solamente en propiedad las 3 opciones (Interna,externa o ambos)</t>
  </si>
  <si>
    <t>no es necesario llenar forma se queda vacia ya que no es importante</t>
  </si>
  <si>
    <t>no se le muestra el poder relacionar vales y sueldos.        despues de modificar no se muestra el valor registrado.           Error en los textos de los campos</t>
  </si>
  <si>
    <t xml:space="preserve">validaciones edit </t>
  </si>
  <si>
    <t>se verifica que solicite todos los campos al editar una relacion de vales y sueldos</t>
  </si>
  <si>
    <t>error backend todo</t>
  </si>
  <si>
    <t>ok</t>
  </si>
  <si>
    <t xml:space="preserve">asignar vale solicitado </t>
  </si>
  <si>
    <t>descargar excel vales,sueldos,relaciones vales y sueldos</t>
  </si>
  <si>
    <t>tener la opcion de descargar todo el listado de vales, sueldos y relaciones de vales y sueldos</t>
  </si>
  <si>
    <t>verificar que si ya existe la relacion de vale y sueldo que se pueda asignar y continuar con el proceso</t>
  </si>
  <si>
    <t xml:space="preserve">se verifica modulo alta especial vale </t>
  </si>
  <si>
    <t>se verifica que permita ingresar el vale  y se verifican listados de los campos</t>
  </si>
  <si>
    <t>validaciones de altas especiales</t>
  </si>
  <si>
    <t>se verifica que considere las 3 altas o chances al operador en este apartado asi como operacion incorrecta</t>
  </si>
  <si>
    <t xml:space="preserve">ver y verificacion de visualizar data </t>
  </si>
  <si>
    <t xml:space="preserve">se verifica que el boton de visualizar el vale solicitado funcione en el listado de pendientes autorizados y no </t>
  </si>
  <si>
    <t>en la seccion de autorizaciones cuando esta pendiente dice que esta autorizado por valdiacion de evidencias y todavia no pasa esa etapa</t>
  </si>
  <si>
    <t>order by listado de vales solicitados</t>
  </si>
  <si>
    <t>se verifica que siempre muestre primero el vale mas antugio que el recente</t>
  </si>
  <si>
    <t xml:space="preserve">asignacion de vale </t>
  </si>
  <si>
    <t>se verifica que guarde el registro del vale y el precio de la relacion</t>
  </si>
  <si>
    <t>iconos de pendientes</t>
  </si>
  <si>
    <t>se verifica que los iconos aparezcan segun el numero de persoans que tienen que autorizarlo</t>
  </si>
  <si>
    <t>un nuevo registro no tiene autorizaciones y sale 2</t>
  </si>
  <si>
    <t>imprimir vale solicitado</t>
  </si>
  <si>
    <t>quien ve y hace en vales solicitados</t>
  </si>
  <si>
    <t>quien autoriza</t>
  </si>
  <si>
    <t>Numero de Pruebas</t>
  </si>
  <si>
    <t>se verifica que aparezcan las respectivas acciones (ver,editar,asignar,autorizar) por sus privilegios asignados</t>
  </si>
  <si>
    <t>ajustar que solamente los gerente vean los vales operativos</t>
  </si>
  <si>
    <t>se verifica que las permisas que tienen privilegios puedan autorizar y que solo se autorizen una vez ya verificados</t>
  </si>
  <si>
    <t>autorizaciones de vale modulo</t>
  </si>
  <si>
    <t>se verifica que el usuario pueda autorizar vales que esten asignados a su area</t>
  </si>
  <si>
    <t>pasar autorizado o no dependiendo de autorizacion vales</t>
  </si>
  <si>
    <t>se verifica que si el vale no tiene persona que lo tenga que verificar en tonces solamente por la pura verificacion pasa a ser autorizado</t>
  </si>
  <si>
    <t>no paso a ser autorizado</t>
  </si>
  <si>
    <t>confirmar pm y usuario</t>
  </si>
  <si>
    <t>cualquier operativo puede ver vales solicitados</t>
  </si>
  <si>
    <t>mostrar numero de viaje en el vale solicitado</t>
  </si>
  <si>
    <t>mostrar el numero de evidencias de viaje que tiene tal vale</t>
  </si>
  <si>
    <t>percepcion dentro del vale solicitado</t>
  </si>
  <si>
    <t>se verifica que si el vale es tipo sueldo y/o tiene un precio ya definido lo traiga de lo contrario el que se pone debe suplantar al precio real</t>
  </si>
  <si>
    <t>uso en multiples navegadores</t>
  </si>
  <si>
    <t>se verifica que los modulos trabajen correctamente en el navegador firefox,chrome y edge</t>
  </si>
  <si>
    <t>no autorizar</t>
  </si>
  <si>
    <t>se verifica que pasa al decir que no se autoriza</t>
  </si>
  <si>
    <t>error de consola y no procede.    En el backend pone que fue aprobado aun que no haya cierto</t>
  </si>
  <si>
    <t>bug en alta especial</t>
  </si>
  <si>
    <t>al moverse despues de un tiempo o despues de una asignacion etc, no aparecieron los campos de alta especial</t>
  </si>
  <si>
    <t>posible problema externo</t>
  </si>
  <si>
    <t>indenifido</t>
  </si>
  <si>
    <t>permitir un alta especial aunque ya haya sido aprobado aunque ya se haya pasado los 3 intentos?</t>
  </si>
  <si>
    <t xml:space="preserve">Numero de errores </t>
  </si>
  <si>
    <t>detalle</t>
  </si>
  <si>
    <t>se verifica que la vista que es la que muestre los registros y relacionando las cartas funciona correctamente</t>
  </si>
  <si>
    <t>verificar con cartas reales</t>
  </si>
  <si>
    <t xml:space="preserve"> se verifica que todos los demas modulos y el sistema funcione sin ninguna complicacion</t>
  </si>
  <si>
    <t>se verifica que no haya ningun problema al enviar peticiones simultaneas</t>
  </si>
  <si>
    <t>se verifica que no haya errores en el proceso de despliegue de informacion</t>
  </si>
  <si>
    <t>situacion no vista/detalle</t>
  </si>
  <si>
    <t>vale autorizado pero cambiado percepcion?</t>
  </si>
  <si>
    <t>se verifica que pasa despues de haber autorizado un vale haber cambiado el precio del sueldo</t>
  </si>
  <si>
    <t>operacion vale solicitado = relacion vale-sueldo</t>
  </si>
  <si>
    <t xml:space="preserve">se verificad que al asignar vale solamente muestre las opciones de la operacion </t>
  </si>
  <si>
    <t>confirmar usuario y pm</t>
  </si>
  <si>
    <t>desplegar listado por operacion</t>
  </si>
  <si>
    <t>se verifica que aparezca la tabla filtrada por la operacion del usuario</t>
  </si>
  <si>
    <t>visualizar evidencias viajes respecto a privilegios</t>
  </si>
  <si>
    <t>Se verifica que el modulo apareca solamente a quienes tienen privilegios y no acceden por url</t>
  </si>
  <si>
    <t>se verifican  acciones de evidencia viajes</t>
  </si>
  <si>
    <t>se verifica que descarge el excel en historico</t>
  </si>
  <si>
    <t>se verifica que las acciones (botones de ver editar y demas funcionen con los usuarios)</t>
  </si>
  <si>
    <t>se verifica que traiga todas las columnas y no de ningun error</t>
  </si>
  <si>
    <t>confimar usuario privilegios quien hara que</t>
  </si>
  <si>
    <t>lista autorizacion de vales</t>
  </si>
  <si>
    <t>se verifica que el listado de autorizacion de vales despliegue solamente las personas y no todo el listado de ales relacionados</t>
  </si>
  <si>
    <t>agregar y editar</t>
  </si>
  <si>
    <t>se verifica que se pueda agregar y editar los vales asignados a la persona asignada</t>
  </si>
  <si>
    <t>Procesamiento/tiempo Crud</t>
  </si>
  <si>
    <t>se verifica el tiempo que toma y si sufre algun retraso al estar guardando,editando, borrando cualquier parte de los modulos anteriores</t>
  </si>
  <si>
    <t>confirmar PM y usuario</t>
  </si>
  <si>
    <t>solucionado</t>
  </si>
  <si>
    <t>relacionvalesSueldos.js</t>
  </si>
  <si>
    <t>ValesOperativosController</t>
  </si>
  <si>
    <t>FirmasVales</t>
  </si>
  <si>
    <t>Validacion</t>
  </si>
  <si>
    <t>ValesOperativos (model)</t>
  </si>
  <si>
    <t>valesOperativos.js</t>
  </si>
  <si>
    <t>ValesOperativos/ListVales/listVales_aprove/verData/viewData/add_request</t>
  </si>
  <si>
    <t>limit</t>
  </si>
  <si>
    <t>web-cesar</t>
  </si>
  <si>
    <t>web.php</t>
  </si>
  <si>
    <t>SueldosController</t>
  </si>
  <si>
    <t>ValesController</t>
  </si>
  <si>
    <t>EvidenciaValesPolicy</t>
  </si>
  <si>
    <t>AuthServceProvider (preferencia moverle a mano)</t>
  </si>
  <si>
    <t>EvidenciaValeController</t>
  </si>
  <si>
    <t>EvidenciaVale (model)</t>
  </si>
  <si>
    <t>evidenciasVale</t>
  </si>
  <si>
    <t>evidenciasValeHistorico</t>
  </si>
  <si>
    <t>EvidenciaValeJs</t>
  </si>
  <si>
    <t>permissionValesController.php</t>
  </si>
  <si>
    <t>index,edit,add</t>
  </si>
  <si>
    <t>permissionVales</t>
  </si>
  <si>
    <t>/**/primero crear las carpetas.</t>
  </si>
  <si>
    <t>#creacion de carpetas</t>
  </si>
  <si>
    <t>mkdir /var/www/html/Scp_System_Dev/resources/views/SCP_system/Vales/Evidencias</t>
  </si>
  <si>
    <t>mkdir /var/www/html/Scp_System_Dev/resources/views/SCP_system/Vales/autorizations</t>
  </si>
  <si>
    <t>script BD table.</t>
  </si>
  <si>
    <t>App/sueldo</t>
  </si>
  <si>
    <t>App/Sueldos</t>
  </si>
  <si>
    <t>RelationvalesSueldosController</t>
  </si>
  <si>
    <t>view_evidenciasVale</t>
  </si>
  <si>
    <t>se verifica que apazrecan todos los modulos de ecodoc respecto a privilegios (vales,sueldos,relaciones,vales solicitados, autorizaciones)</t>
  </si>
  <si>
    <t>CRUD VALES</t>
  </si>
  <si>
    <t>al editar el vale salta un error</t>
  </si>
  <si>
    <t>error de backend faltaba una s</t>
  </si>
  <si>
    <t>CRUD SUELDOS</t>
  </si>
  <si>
    <t>se verifica que se despliegue el listado de vales , edite, cree  un registro de vale y elimine el registro</t>
  </si>
  <si>
    <t>se verifica que se despliegue el listado de sueldos, edite , cree un registro de sueldo y elimine el registro</t>
  </si>
  <si>
    <t>CRUD Relacion Vale y Sueldo</t>
  </si>
  <si>
    <t>se verifica que se despliegue el listado de vales y sueldos , edite , cree una relacion y elimine el registro</t>
  </si>
  <si>
    <t>CRUD Evidencia de Viajes</t>
  </si>
  <si>
    <t>CRUD Autorizacion de Vales</t>
  </si>
  <si>
    <t>CRUD Vales Solicitados</t>
  </si>
  <si>
    <t>se verifica que se despliegue el listado de evidencia de viajes , edite , y elimine el registro</t>
  </si>
  <si>
    <t>se verifica que se despliegue el listado de personas autorizadas, edite , cree asigne una nueva persona</t>
  </si>
  <si>
    <t>se verifica que se despliegue el listado de vales solicitados,visualize el vale, asigne el vale, edita el vale, autorize y no autorize el vale y cree un alta especial</t>
  </si>
  <si>
    <t>se verifica tambien historico</t>
  </si>
  <si>
    <t>error visual</t>
  </si>
  <si>
    <t xml:space="preserve"> error en el for donde se dan los iconos rojos y verdes, es to es por 1 , 2 = 2 ? Si y da verde cuando no deberia de ser asi.</t>
  </si>
  <si>
    <t>donde se puede ver que vales tienen 2 personas en autorizacion de vales?</t>
  </si>
  <si>
    <t>Proceso de frmado de operacion</t>
  </si>
  <si>
    <t>tiene permiso de firmar festivo lavorado pero no lo deja.</t>
  </si>
  <si>
    <t>equivacion en local y falto cargar un archivo a la migracion</t>
  </si>
  <si>
    <t xml:space="preserve">se verifica que marque que ya este firmado y pase al listado de autorizaciones </t>
  </si>
  <si>
    <t>el for empeza en 0 por eso</t>
  </si>
  <si>
    <t>sugerir al editar una relacion de vales y sueldos el vale , el sueldo y la operacion ( como olvidados de vales solicitados</t>
  </si>
  <si>
    <t>que aparezcan las acciones o por lo menos autorizar por la autorizacion de vale asignada en los vales solicitados</t>
  </si>
  <si>
    <t>se coloca regla (validacion para que solo sea sueldo -sueldo , gasto -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</si>
</sst>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4" applyNumberFormat="0" applyAlignment="0" applyProtection="0"/>
    <xf numFmtId="0" fontId="4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top" wrapText="1"/>
    </xf>
    <xf numFmtId="0" fontId="2" fillId="4" borderId="0" xfId="2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4" xfId="3" applyAlignment="1">
      <alignment horizontal="center" vertical="center" wrapText="1"/>
    </xf>
    <xf numFmtId="0" fontId="8" fillId="4" borderId="0" xfId="2" applyFont="1" applyAlignment="1">
      <alignment horizontal="center" vertical="center" wrapText="1"/>
    </xf>
    <xf numFmtId="0" fontId="7" fillId="3" borderId="0" xfId="1" applyFont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9" fillId="0" borderId="5" xfId="4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2" fillId="3" borderId="0" xfId="5" applyFill="1" applyAlignment="1">
      <alignment horizontal="center" vertical="center" wrapText="1"/>
    </xf>
    <xf numFmtId="0" fontId="13" fillId="7" borderId="0" xfId="6"/>
    <xf numFmtId="0" fontId="4" fillId="0" borderId="0" xfId="0" applyFont="1" applyAlignment="1">
      <alignment horizontal="center" vertical="center"/>
    </xf>
    <xf numFmtId="0" fontId="13" fillId="7" borderId="0" xfId="6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indent="2"/>
    </xf>
    <xf numFmtId="0" fontId="0" fillId="0" borderId="0" xfId="0" applyAlignment="1">
      <alignment horizontal="left" vertical="top" wrapText="1" indent="4"/>
    </xf>
    <xf numFmtId="0" fontId="13" fillId="7" borderId="2" xfId="6" applyBorder="1" applyAlignment="1">
      <alignment horizontal="center" vertical="center" wrapText="1"/>
    </xf>
    <xf numFmtId="14" fontId="13" fillId="7" borderId="0" xfId="6" applyNumberFormat="1" applyAlignment="1">
      <alignment horizontal="center" vertical="center" wrapText="1"/>
    </xf>
    <xf numFmtId="0" fontId="13" fillId="7" borderId="4" xfId="6" applyBorder="1" applyAlignment="1">
      <alignment horizontal="center" vertical="center" wrapText="1"/>
    </xf>
    <xf numFmtId="0" fontId="2" fillId="4" borderId="2" xfId="2" applyBorder="1" applyAlignment="1">
      <alignment horizontal="center" vertical="center" wrapText="1"/>
    </xf>
    <xf numFmtId="14" fontId="2" fillId="4" borderId="0" xfId="2" applyNumberFormat="1" applyAlignment="1">
      <alignment horizontal="center" vertical="center" wrapText="1"/>
    </xf>
  </cellXfs>
  <cellStyles count="7">
    <cellStyle name="Bueno" xfId="6" builtinId="26"/>
    <cellStyle name="Cálculo" xfId="3" builtinId="22"/>
    <cellStyle name="Encabezado 4" xfId="5" builtinId="19"/>
    <cellStyle name="Incorrecto" xfId="1" builtinId="27"/>
    <cellStyle name="Neutral" xfId="2" builtinId="28"/>
    <cellStyle name="Normal" xfId="0" builtinId="0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1F48-0642-4430-9444-1F5A5ECF8702}">
  <dimension ref="A1:J41"/>
  <sheetViews>
    <sheetView zoomScale="90" zoomScaleNormal="90" workbookViewId="0">
      <pane ySplit="1" topLeftCell="A2" activePane="bottomLeft" state="frozen"/>
      <selection pane="bottomLeft" activeCell="F15" sqref="F15"/>
    </sheetView>
  </sheetViews>
  <sheetFormatPr baseColWidth="10" defaultRowHeight="15.75" x14ac:dyDescent="0.25"/>
  <cols>
    <col min="1" max="1" width="13.28515625" style="9" customWidth="1"/>
    <col min="2" max="2" width="12.7109375" style="19" bestFit="1" customWidth="1"/>
    <col min="3" max="3" width="42.140625" style="9" customWidth="1"/>
    <col min="4" max="4" width="12.42578125" style="9" customWidth="1"/>
    <col min="5" max="5" width="11.42578125" style="9"/>
    <col min="6" max="6" width="91.5703125" style="9" customWidth="1"/>
    <col min="7" max="7" width="11.42578125" style="9"/>
    <col min="8" max="8" width="54.85546875" style="9" customWidth="1"/>
    <col min="9" max="9" width="11.42578125" style="9"/>
    <col min="10" max="10" width="23.7109375" style="13" customWidth="1"/>
  </cols>
  <sheetData>
    <row r="1" spans="1:10" ht="26.25" thickBot="1" x14ac:dyDescent="0.3">
      <c r="A1" s="14" t="s">
        <v>61</v>
      </c>
      <c r="B1" s="16" t="s">
        <v>62</v>
      </c>
      <c r="C1" s="14" t="s">
        <v>63</v>
      </c>
      <c r="D1" s="14" t="s">
        <v>73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119</v>
      </c>
    </row>
    <row r="2" spans="1:10" ht="15" x14ac:dyDescent="0.25">
      <c r="A2" s="25" t="s">
        <v>120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30" x14ac:dyDescent="0.25">
      <c r="A4" s="6" t="s">
        <v>52</v>
      </c>
      <c r="B4" s="18">
        <v>45581</v>
      </c>
      <c r="C4" s="9" t="s">
        <v>0</v>
      </c>
      <c r="D4" s="9">
        <v>4</v>
      </c>
      <c r="E4" s="9" t="s">
        <v>1</v>
      </c>
      <c r="F4" s="9" t="s">
        <v>248</v>
      </c>
      <c r="G4" s="9">
        <v>0</v>
      </c>
      <c r="H4" s="9" t="s">
        <v>3</v>
      </c>
      <c r="I4" s="9" t="s">
        <v>3</v>
      </c>
      <c r="J4" s="9" t="s">
        <v>3</v>
      </c>
    </row>
    <row r="5" spans="1:10" ht="30" x14ac:dyDescent="0.25">
      <c r="A5" s="6" t="s">
        <v>52</v>
      </c>
      <c r="B5" s="18">
        <v>45581</v>
      </c>
      <c r="C5" s="9" t="s">
        <v>249</v>
      </c>
      <c r="D5" s="9">
        <v>6</v>
      </c>
      <c r="E5" s="9" t="s">
        <v>1</v>
      </c>
      <c r="F5" s="9" t="s">
        <v>253</v>
      </c>
      <c r="G5" s="9">
        <v>1</v>
      </c>
      <c r="H5" s="9" t="s">
        <v>250</v>
      </c>
      <c r="I5" s="9" t="s">
        <v>3</v>
      </c>
      <c r="J5" s="9" t="s">
        <v>251</v>
      </c>
    </row>
    <row r="6" spans="1:10" ht="30" x14ac:dyDescent="0.25">
      <c r="A6" s="6" t="s">
        <v>52</v>
      </c>
      <c r="B6" s="18">
        <v>45581</v>
      </c>
      <c r="C6" s="9" t="s">
        <v>252</v>
      </c>
      <c r="D6" s="9">
        <v>6</v>
      </c>
      <c r="E6" s="9" t="s">
        <v>1</v>
      </c>
      <c r="F6" s="9" t="s">
        <v>254</v>
      </c>
      <c r="G6" s="9">
        <v>0</v>
      </c>
      <c r="H6" s="9" t="s">
        <v>3</v>
      </c>
      <c r="I6" s="9" t="s">
        <v>3</v>
      </c>
      <c r="J6" s="23" t="s">
        <v>3</v>
      </c>
    </row>
    <row r="7" spans="1:10" ht="30" x14ac:dyDescent="0.25">
      <c r="A7" s="6" t="s">
        <v>52</v>
      </c>
      <c r="B7" s="18">
        <v>45581</v>
      </c>
      <c r="C7" s="9" t="s">
        <v>255</v>
      </c>
      <c r="D7" s="9">
        <v>6</v>
      </c>
      <c r="E7" s="9" t="s">
        <v>1</v>
      </c>
      <c r="F7" s="9" t="s">
        <v>256</v>
      </c>
      <c r="G7" s="9">
        <v>0</v>
      </c>
      <c r="H7" s="9" t="s">
        <v>3</v>
      </c>
      <c r="I7" s="9" t="s">
        <v>3</v>
      </c>
      <c r="J7" s="9" t="s">
        <v>3</v>
      </c>
    </row>
    <row r="8" spans="1:10" ht="30" x14ac:dyDescent="0.25">
      <c r="A8" s="6" t="s">
        <v>52</v>
      </c>
      <c r="B8" s="18">
        <v>45581</v>
      </c>
      <c r="C8" s="9" t="s">
        <v>257</v>
      </c>
      <c r="D8" s="9">
        <v>7</v>
      </c>
      <c r="E8" s="9" t="s">
        <v>1</v>
      </c>
      <c r="F8" s="9" t="s">
        <v>260</v>
      </c>
      <c r="G8" s="9">
        <v>0</v>
      </c>
      <c r="H8" s="9" t="s">
        <v>3</v>
      </c>
      <c r="I8" s="9" t="s">
        <v>3</v>
      </c>
      <c r="J8" s="9" t="s">
        <v>263</v>
      </c>
    </row>
    <row r="9" spans="1:10" ht="30" x14ac:dyDescent="0.25">
      <c r="A9" s="6" t="s">
        <v>52</v>
      </c>
      <c r="B9" s="18">
        <v>45581</v>
      </c>
      <c r="C9" s="9" t="s">
        <v>258</v>
      </c>
      <c r="D9" s="9">
        <v>6</v>
      </c>
      <c r="E9" s="9" t="s">
        <v>1</v>
      </c>
      <c r="F9" s="9" t="s">
        <v>261</v>
      </c>
      <c r="G9" s="9">
        <v>0</v>
      </c>
      <c r="H9" s="9" t="s">
        <v>3</v>
      </c>
      <c r="I9" s="9" t="s">
        <v>3</v>
      </c>
      <c r="J9" s="9" t="s">
        <v>3</v>
      </c>
    </row>
    <row r="10" spans="1:10" ht="30" x14ac:dyDescent="0.25">
      <c r="A10" s="6" t="s">
        <v>52</v>
      </c>
      <c r="B10" s="18">
        <v>45581</v>
      </c>
      <c r="C10" s="9" t="s">
        <v>259</v>
      </c>
      <c r="D10" s="9">
        <v>14</v>
      </c>
      <c r="E10" s="9" t="s">
        <v>1</v>
      </c>
      <c r="F10" s="9" t="s">
        <v>262</v>
      </c>
      <c r="G10" s="9">
        <v>1</v>
      </c>
      <c r="H10" s="9" t="s">
        <v>265</v>
      </c>
      <c r="I10" s="9" t="s">
        <v>3</v>
      </c>
      <c r="J10" s="24" t="s">
        <v>264</v>
      </c>
    </row>
    <row r="11" spans="1:10" ht="30" x14ac:dyDescent="0.25">
      <c r="A11" s="33" t="s">
        <v>52</v>
      </c>
      <c r="B11" s="34">
        <v>45581</v>
      </c>
      <c r="C11" s="2" t="s">
        <v>105</v>
      </c>
      <c r="D11" s="2" t="s">
        <v>3</v>
      </c>
      <c r="E11" s="2" t="s">
        <v>3</v>
      </c>
      <c r="F11" s="2" t="s">
        <v>266</v>
      </c>
      <c r="G11" s="2">
        <v>0</v>
      </c>
      <c r="H11" s="2" t="s">
        <v>271</v>
      </c>
      <c r="I11" s="2" t="s">
        <v>3</v>
      </c>
      <c r="J11" s="2" t="s">
        <v>3</v>
      </c>
    </row>
    <row r="12" spans="1:10" ht="45" x14ac:dyDescent="0.25">
      <c r="A12" s="6" t="s">
        <v>52</v>
      </c>
      <c r="B12" s="18">
        <v>45581</v>
      </c>
      <c r="C12" s="9" t="s">
        <v>267</v>
      </c>
      <c r="D12" s="9">
        <v>6</v>
      </c>
      <c r="E12" s="9" t="s">
        <v>1</v>
      </c>
      <c r="F12" s="9" t="s">
        <v>270</v>
      </c>
      <c r="G12" s="9">
        <v>2</v>
      </c>
      <c r="H12" s="9" t="s">
        <v>268</v>
      </c>
      <c r="I12" s="9" t="s">
        <v>3</v>
      </c>
      <c r="J12" s="9" t="s">
        <v>269</v>
      </c>
    </row>
    <row r="13" spans="1:10" ht="15" x14ac:dyDescent="0.25">
      <c r="B13" s="9"/>
      <c r="J13" s="9"/>
    </row>
    <row r="14" spans="1:10" ht="15" x14ac:dyDescent="0.25">
      <c r="B14" s="9"/>
      <c r="J14" s="9"/>
    </row>
    <row r="15" spans="1:10" ht="15" x14ac:dyDescent="0.25">
      <c r="B15" s="9"/>
      <c r="J15" s="9"/>
    </row>
    <row r="16" spans="1:10" ht="15" x14ac:dyDescent="0.25">
      <c r="B16" s="9"/>
      <c r="J16" s="9"/>
    </row>
    <row r="17" spans="2:10" ht="15" x14ac:dyDescent="0.25">
      <c r="B17" s="9"/>
      <c r="J17" s="9"/>
    </row>
    <row r="18" spans="2:10" ht="15" x14ac:dyDescent="0.25">
      <c r="B18" s="9"/>
      <c r="J18" s="9"/>
    </row>
    <row r="19" spans="2:10" ht="15" x14ac:dyDescent="0.25">
      <c r="B19" s="9"/>
      <c r="J19" s="9"/>
    </row>
    <row r="20" spans="2:10" ht="15" x14ac:dyDescent="0.25">
      <c r="B20" s="9"/>
      <c r="J20" s="9"/>
    </row>
    <row r="21" spans="2:10" ht="15" x14ac:dyDescent="0.25">
      <c r="B21" s="9"/>
      <c r="J21" s="9"/>
    </row>
    <row r="22" spans="2:10" ht="15" x14ac:dyDescent="0.25">
      <c r="B22" s="9"/>
      <c r="J22" s="9"/>
    </row>
    <row r="23" spans="2:10" ht="15" x14ac:dyDescent="0.25">
      <c r="B23" s="9"/>
      <c r="J23" s="9"/>
    </row>
    <row r="24" spans="2:10" ht="15" x14ac:dyDescent="0.25">
      <c r="B24" s="9"/>
      <c r="J24" s="9"/>
    </row>
    <row r="25" spans="2:10" ht="15" x14ac:dyDescent="0.25">
      <c r="B25" s="9"/>
      <c r="J25" s="9"/>
    </row>
    <row r="26" spans="2:10" ht="15" x14ac:dyDescent="0.25">
      <c r="B26" s="9"/>
      <c r="J26" s="9"/>
    </row>
    <row r="27" spans="2:10" ht="15" x14ac:dyDescent="0.25">
      <c r="B27" s="9"/>
      <c r="J27" s="9"/>
    </row>
    <row r="28" spans="2:10" ht="15" x14ac:dyDescent="0.25">
      <c r="B28" s="9"/>
      <c r="J28" s="9"/>
    </row>
    <row r="29" spans="2:10" ht="15" x14ac:dyDescent="0.25">
      <c r="B29" s="9"/>
      <c r="J29" s="9"/>
    </row>
    <row r="30" spans="2:10" ht="15" x14ac:dyDescent="0.25">
      <c r="B30" s="9"/>
      <c r="J30" s="9"/>
    </row>
    <row r="31" spans="2:10" ht="15" x14ac:dyDescent="0.25">
      <c r="B31" s="9"/>
      <c r="J31" s="9"/>
    </row>
    <row r="32" spans="2:10" ht="15" x14ac:dyDescent="0.25">
      <c r="B32" s="9"/>
      <c r="J32" s="9"/>
    </row>
    <row r="33" spans="2:10" ht="15" x14ac:dyDescent="0.25">
      <c r="B33" s="9"/>
      <c r="J33" s="9"/>
    </row>
    <row r="34" spans="2:10" ht="15" x14ac:dyDescent="0.25">
      <c r="B34" s="9"/>
      <c r="J34" s="9"/>
    </row>
    <row r="35" spans="2:10" ht="15" x14ac:dyDescent="0.25">
      <c r="B35" s="9"/>
      <c r="J35" s="9"/>
    </row>
    <row r="36" spans="2:10" ht="15" x14ac:dyDescent="0.25">
      <c r="B36" s="9"/>
      <c r="J36" s="9"/>
    </row>
    <row r="37" spans="2:10" ht="15" x14ac:dyDescent="0.25">
      <c r="B37" s="9"/>
      <c r="J37" s="9"/>
    </row>
    <row r="38" spans="2:10" ht="15" x14ac:dyDescent="0.25">
      <c r="B38" s="9"/>
      <c r="J38" s="9"/>
    </row>
    <row r="39" spans="2:10" ht="15" x14ac:dyDescent="0.25">
      <c r="B39" s="9"/>
      <c r="J39" s="9"/>
    </row>
    <row r="40" spans="2:10" ht="24" thickBot="1" x14ac:dyDescent="0.3">
      <c r="C40" s="15" t="s">
        <v>162</v>
      </c>
      <c r="D40" s="15">
        <f>SUM(D4:D38)</f>
        <v>55</v>
      </c>
      <c r="F40" s="15" t="s">
        <v>187</v>
      </c>
      <c r="G40" s="15">
        <f>SUM(G4:G38)</f>
        <v>4</v>
      </c>
    </row>
    <row r="41" spans="2:10" ht="16.5" thickTop="1" x14ac:dyDescent="0.25"/>
  </sheetData>
  <mergeCells count="1">
    <mergeCell ref="A2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C6C9-D2D9-408A-BBF7-0797A2757282}">
  <dimension ref="A1:J86"/>
  <sheetViews>
    <sheetView tabSelected="1" zoomScale="90" zoomScaleNormal="90" workbookViewId="0">
      <pane ySplit="1" topLeftCell="A41" activePane="bottomLeft" state="frozen"/>
      <selection pane="bottomLeft" activeCell="H58" sqref="H58"/>
    </sheetView>
  </sheetViews>
  <sheetFormatPr baseColWidth="10" defaultRowHeight="15.75" x14ac:dyDescent="0.25"/>
  <cols>
    <col min="1" max="1" width="13.28515625" style="9" customWidth="1"/>
    <col min="2" max="2" width="12.7109375" style="19" bestFit="1" customWidth="1"/>
    <col min="3" max="3" width="42.140625" style="9" customWidth="1"/>
    <col min="4" max="4" width="12.42578125" style="9" customWidth="1"/>
    <col min="5" max="5" width="11.42578125" style="9"/>
    <col min="6" max="6" width="91.5703125" style="9" customWidth="1"/>
    <col min="7" max="7" width="11.42578125" style="9"/>
    <col min="8" max="8" width="54.85546875" style="9" customWidth="1"/>
    <col min="9" max="9" width="11.42578125" style="9"/>
    <col min="10" max="10" width="23.7109375" style="13" customWidth="1"/>
  </cols>
  <sheetData>
    <row r="1" spans="1:10" ht="26.25" thickBot="1" x14ac:dyDescent="0.3">
      <c r="A1" s="14" t="s">
        <v>61</v>
      </c>
      <c r="B1" s="16" t="s">
        <v>62</v>
      </c>
      <c r="C1" s="14" t="s">
        <v>63</v>
      </c>
      <c r="D1" s="14" t="s">
        <v>73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119</v>
      </c>
    </row>
    <row r="2" spans="1:10" thickBot="1" x14ac:dyDescent="0.3">
      <c r="A2" s="3" t="s">
        <v>0</v>
      </c>
      <c r="B2" s="17">
        <v>45541</v>
      </c>
      <c r="C2" s="3" t="s">
        <v>106</v>
      </c>
      <c r="D2" s="3">
        <v>10</v>
      </c>
      <c r="E2" s="3" t="s">
        <v>1</v>
      </c>
      <c r="F2" s="3" t="s">
        <v>2</v>
      </c>
      <c r="G2" s="3">
        <v>0</v>
      </c>
      <c r="H2" s="3" t="s">
        <v>3</v>
      </c>
      <c r="I2" s="3" t="s">
        <v>3</v>
      </c>
      <c r="J2" s="3" t="s">
        <v>3</v>
      </c>
    </row>
    <row r="3" spans="1:10" ht="26.25" thickBot="1" x14ac:dyDescent="0.3">
      <c r="A3" s="3" t="s">
        <v>0</v>
      </c>
      <c r="B3" s="17">
        <v>45541</v>
      </c>
      <c r="C3" s="4" t="s">
        <v>4</v>
      </c>
      <c r="D3" s="4">
        <v>3</v>
      </c>
      <c r="E3" s="4" t="s">
        <v>1</v>
      </c>
      <c r="F3" s="3" t="s">
        <v>5</v>
      </c>
      <c r="G3" s="3">
        <v>2</v>
      </c>
      <c r="H3" s="3" t="s">
        <v>6</v>
      </c>
      <c r="I3" s="3" t="s">
        <v>3</v>
      </c>
      <c r="J3" s="3" t="s">
        <v>3</v>
      </c>
    </row>
    <row r="4" spans="1:10" thickBot="1" x14ac:dyDescent="0.3">
      <c r="A4" s="3" t="s">
        <v>0</v>
      </c>
      <c r="B4" s="17">
        <v>45541</v>
      </c>
      <c r="C4" s="4" t="s">
        <v>7</v>
      </c>
      <c r="D4" s="4">
        <v>2</v>
      </c>
      <c r="E4" s="3" t="s">
        <v>1</v>
      </c>
      <c r="F4" s="3" t="s">
        <v>8</v>
      </c>
      <c r="G4" s="3">
        <v>0</v>
      </c>
      <c r="H4" s="3" t="s">
        <v>3</v>
      </c>
      <c r="I4" s="3" t="s">
        <v>3</v>
      </c>
      <c r="J4" s="3" t="s">
        <v>3</v>
      </c>
    </row>
    <row r="5" spans="1:10" thickBot="1" x14ac:dyDescent="0.3">
      <c r="A5" s="3" t="s">
        <v>0</v>
      </c>
      <c r="B5" s="17">
        <v>45541</v>
      </c>
      <c r="C5" s="4" t="s">
        <v>9</v>
      </c>
      <c r="D5" s="4">
        <v>3</v>
      </c>
      <c r="E5" s="4" t="s">
        <v>1</v>
      </c>
      <c r="F5" s="3" t="s">
        <v>10</v>
      </c>
      <c r="G5" s="3">
        <v>1</v>
      </c>
      <c r="H5" s="3" t="s">
        <v>11</v>
      </c>
      <c r="I5" s="3" t="s">
        <v>3</v>
      </c>
      <c r="J5" s="3" t="s">
        <v>3</v>
      </c>
    </row>
    <row r="6" spans="1:10" ht="26.25" thickBot="1" x14ac:dyDescent="0.3">
      <c r="A6" s="3" t="s">
        <v>0</v>
      </c>
      <c r="B6" s="17">
        <v>45541</v>
      </c>
      <c r="C6" s="3" t="s">
        <v>12</v>
      </c>
      <c r="D6" s="3">
        <v>3</v>
      </c>
      <c r="E6" s="3" t="s">
        <v>1</v>
      </c>
      <c r="F6" s="3" t="s">
        <v>5</v>
      </c>
      <c r="G6" s="3">
        <v>1</v>
      </c>
      <c r="H6" s="3" t="s">
        <v>13</v>
      </c>
      <c r="I6" s="3" t="s">
        <v>3</v>
      </c>
      <c r="J6" s="3" t="s">
        <v>3</v>
      </c>
    </row>
    <row r="7" spans="1:10" ht="39" thickBot="1" x14ac:dyDescent="0.3">
      <c r="A7" s="3" t="s">
        <v>0</v>
      </c>
      <c r="B7" s="17">
        <v>45541</v>
      </c>
      <c r="C7" s="3" t="s">
        <v>14</v>
      </c>
      <c r="D7" s="3">
        <v>4</v>
      </c>
      <c r="E7" s="3" t="s">
        <v>1</v>
      </c>
      <c r="F7" s="3" t="s">
        <v>15</v>
      </c>
      <c r="G7" s="3">
        <v>2</v>
      </c>
      <c r="H7" s="3" t="s">
        <v>16</v>
      </c>
      <c r="I7" s="3" t="s">
        <v>3</v>
      </c>
      <c r="J7" s="3" t="s">
        <v>3</v>
      </c>
    </row>
    <row r="8" spans="1:10" ht="26.25" thickBot="1" x14ac:dyDescent="0.3">
      <c r="A8" s="3" t="s">
        <v>0</v>
      </c>
      <c r="B8" s="17">
        <v>45541</v>
      </c>
      <c r="C8" s="3" t="s">
        <v>17</v>
      </c>
      <c r="D8" s="3">
        <v>2</v>
      </c>
      <c r="E8" s="3" t="s">
        <v>1</v>
      </c>
      <c r="F8" s="3" t="s">
        <v>10</v>
      </c>
      <c r="G8" s="3">
        <v>1</v>
      </c>
      <c r="H8" s="3" t="s">
        <v>13</v>
      </c>
      <c r="I8" s="3" t="s">
        <v>3</v>
      </c>
      <c r="J8" s="3" t="s">
        <v>3</v>
      </c>
    </row>
    <row r="9" spans="1:10" thickBot="1" x14ac:dyDescent="0.3">
      <c r="A9" s="3" t="s">
        <v>0</v>
      </c>
      <c r="B9" s="17">
        <v>45541</v>
      </c>
      <c r="C9" s="3" t="s">
        <v>18</v>
      </c>
      <c r="D9" s="3">
        <v>4</v>
      </c>
      <c r="E9" s="3" t="s">
        <v>1</v>
      </c>
      <c r="F9" s="3" t="s">
        <v>19</v>
      </c>
      <c r="G9" s="3">
        <v>1</v>
      </c>
      <c r="H9" s="3" t="s">
        <v>20</v>
      </c>
      <c r="I9" s="3" t="s">
        <v>3</v>
      </c>
      <c r="J9" s="3" t="s">
        <v>3</v>
      </c>
    </row>
    <row r="10" spans="1:10" ht="26.25" thickBot="1" x14ac:dyDescent="0.3">
      <c r="A10" s="3" t="s">
        <v>0</v>
      </c>
      <c r="B10" s="17">
        <v>45541</v>
      </c>
      <c r="C10" s="3" t="s">
        <v>21</v>
      </c>
      <c r="D10" s="3">
        <v>3</v>
      </c>
      <c r="E10" s="3" t="s">
        <v>1</v>
      </c>
      <c r="F10" s="3" t="s">
        <v>22</v>
      </c>
      <c r="G10" s="3">
        <v>2</v>
      </c>
      <c r="H10" s="3" t="s">
        <v>23</v>
      </c>
      <c r="I10" s="3" t="s">
        <v>3</v>
      </c>
      <c r="J10" s="3" t="s">
        <v>3</v>
      </c>
    </row>
    <row r="11" spans="1:10" thickBot="1" x14ac:dyDescent="0.3">
      <c r="A11" s="3" t="s">
        <v>0</v>
      </c>
      <c r="B11" s="17">
        <v>45541</v>
      </c>
      <c r="C11" s="3" t="s">
        <v>24</v>
      </c>
      <c r="D11" s="3">
        <v>2</v>
      </c>
      <c r="E11" s="3" t="s">
        <v>1</v>
      </c>
      <c r="F11" s="3" t="s">
        <v>25</v>
      </c>
      <c r="G11" s="3">
        <v>0</v>
      </c>
      <c r="H11" s="3" t="s">
        <v>3</v>
      </c>
      <c r="I11" s="3" t="s">
        <v>3</v>
      </c>
      <c r="J11" s="3" t="s">
        <v>3</v>
      </c>
    </row>
    <row r="12" spans="1:10" ht="26.25" thickBot="1" x14ac:dyDescent="0.3">
      <c r="A12" s="3" t="s">
        <v>0</v>
      </c>
      <c r="B12" s="17">
        <v>45541</v>
      </c>
      <c r="C12" s="3" t="s">
        <v>26</v>
      </c>
      <c r="D12" s="3">
        <v>2</v>
      </c>
      <c r="E12" s="3" t="s">
        <v>1</v>
      </c>
      <c r="F12" s="3" t="s">
        <v>27</v>
      </c>
      <c r="G12" s="3">
        <v>0</v>
      </c>
      <c r="H12" s="3" t="s">
        <v>3</v>
      </c>
      <c r="I12" s="3" t="s">
        <v>3</v>
      </c>
      <c r="J12" s="3" t="s">
        <v>3</v>
      </c>
    </row>
    <row r="13" spans="1:10" ht="39" thickBot="1" x14ac:dyDescent="0.3">
      <c r="A13" s="3" t="s">
        <v>0</v>
      </c>
      <c r="B13" s="17">
        <v>45541</v>
      </c>
      <c r="C13" s="3" t="s">
        <v>28</v>
      </c>
      <c r="D13" s="3">
        <v>2</v>
      </c>
      <c r="E13" s="3" t="s">
        <v>1</v>
      </c>
      <c r="F13" s="3" t="s">
        <v>29</v>
      </c>
      <c r="G13" s="3">
        <v>1</v>
      </c>
      <c r="H13" s="3" t="s">
        <v>30</v>
      </c>
      <c r="I13" s="3" t="s">
        <v>3</v>
      </c>
      <c r="J13" s="3" t="s">
        <v>3</v>
      </c>
    </row>
    <row r="14" spans="1:10" thickBot="1" x14ac:dyDescent="0.3">
      <c r="A14" s="3" t="s">
        <v>0</v>
      </c>
      <c r="B14" s="17">
        <v>45541</v>
      </c>
      <c r="C14" s="3" t="s">
        <v>31</v>
      </c>
      <c r="D14" s="3">
        <v>2</v>
      </c>
      <c r="E14" s="3" t="s">
        <v>1</v>
      </c>
      <c r="F14" s="3" t="s">
        <v>32</v>
      </c>
      <c r="G14" s="3">
        <v>1</v>
      </c>
      <c r="H14" s="3" t="s">
        <v>33</v>
      </c>
      <c r="I14" s="3" t="s">
        <v>3</v>
      </c>
      <c r="J14" s="3" t="s">
        <v>3</v>
      </c>
    </row>
    <row r="15" spans="1:10" ht="27" customHeight="1" thickBot="1" x14ac:dyDescent="0.3">
      <c r="A15" s="3" t="s">
        <v>0</v>
      </c>
      <c r="B15" s="17">
        <v>45541</v>
      </c>
      <c r="C15" s="3" t="s">
        <v>34</v>
      </c>
      <c r="D15" s="3">
        <v>2</v>
      </c>
      <c r="E15" s="3" t="s">
        <v>1</v>
      </c>
      <c r="F15" s="3" t="s">
        <v>35</v>
      </c>
      <c r="G15" s="3">
        <v>1</v>
      </c>
      <c r="H15" s="3" t="s">
        <v>36</v>
      </c>
      <c r="I15" s="3" t="s">
        <v>3</v>
      </c>
      <c r="J15" s="3" t="s">
        <v>3</v>
      </c>
    </row>
    <row r="16" spans="1:10" thickBot="1" x14ac:dyDescent="0.3">
      <c r="A16" s="3" t="s">
        <v>37</v>
      </c>
      <c r="B16" s="17">
        <v>45574</v>
      </c>
      <c r="C16" s="3" t="s">
        <v>38</v>
      </c>
      <c r="D16" s="3">
        <v>6</v>
      </c>
      <c r="E16" s="3" t="s">
        <v>1</v>
      </c>
      <c r="F16" s="3" t="s">
        <v>39</v>
      </c>
      <c r="G16" s="3">
        <v>2</v>
      </c>
      <c r="H16" s="3" t="s">
        <v>40</v>
      </c>
      <c r="I16" s="3" t="s">
        <v>3</v>
      </c>
      <c r="J16" s="3" t="s">
        <v>3</v>
      </c>
    </row>
    <row r="17" spans="1:10" thickBot="1" x14ac:dyDescent="0.3">
      <c r="A17" s="3" t="s">
        <v>37</v>
      </c>
      <c r="B17" s="17">
        <v>45574</v>
      </c>
      <c r="C17" s="3" t="s">
        <v>41</v>
      </c>
      <c r="D17" s="3">
        <v>8</v>
      </c>
      <c r="E17" s="3" t="s">
        <v>1</v>
      </c>
      <c r="F17" s="3" t="s">
        <v>42</v>
      </c>
      <c r="G17" s="3">
        <v>1</v>
      </c>
      <c r="H17" s="3" t="s">
        <v>43</v>
      </c>
      <c r="I17" s="3" t="s">
        <v>3</v>
      </c>
      <c r="J17" s="3" t="s">
        <v>3</v>
      </c>
    </row>
    <row r="18" spans="1:10" thickBot="1" x14ac:dyDescent="0.3">
      <c r="A18" s="3" t="s">
        <v>37</v>
      </c>
      <c r="B18" s="17">
        <v>45574</v>
      </c>
      <c r="C18" s="3" t="s">
        <v>44</v>
      </c>
      <c r="D18" s="3">
        <v>8</v>
      </c>
      <c r="E18" s="3" t="s">
        <v>1</v>
      </c>
      <c r="F18" s="3" t="s">
        <v>45</v>
      </c>
      <c r="G18" s="3">
        <v>0</v>
      </c>
      <c r="H18" s="3" t="s">
        <v>3</v>
      </c>
      <c r="I18" s="3" t="s">
        <v>3</v>
      </c>
      <c r="J18" s="3" t="s">
        <v>3</v>
      </c>
    </row>
    <row r="19" spans="1:10" thickBot="1" x14ac:dyDescent="0.3">
      <c r="A19" s="3" t="s">
        <v>37</v>
      </c>
      <c r="B19" s="17">
        <v>45574</v>
      </c>
      <c r="C19" s="3" t="s">
        <v>46</v>
      </c>
      <c r="D19" s="3">
        <v>8</v>
      </c>
      <c r="E19" s="3" t="s">
        <v>1</v>
      </c>
      <c r="F19" s="3" t="s">
        <v>193</v>
      </c>
      <c r="G19" s="3">
        <v>0</v>
      </c>
      <c r="H19" s="3" t="s">
        <v>3</v>
      </c>
      <c r="I19" s="3" t="s">
        <v>3</v>
      </c>
      <c r="J19" s="3" t="s">
        <v>3</v>
      </c>
    </row>
    <row r="20" spans="1:10" thickBot="1" x14ac:dyDescent="0.3">
      <c r="A20" s="3" t="s">
        <v>37</v>
      </c>
      <c r="B20" s="17">
        <v>45574</v>
      </c>
      <c r="C20" s="3" t="s">
        <v>47</v>
      </c>
      <c r="D20" s="3">
        <v>8</v>
      </c>
      <c r="E20" s="3" t="s">
        <v>1</v>
      </c>
      <c r="F20" s="3" t="s">
        <v>191</v>
      </c>
      <c r="G20" s="3">
        <v>0</v>
      </c>
      <c r="H20" s="3" t="s">
        <v>3</v>
      </c>
      <c r="I20" s="3" t="s">
        <v>3</v>
      </c>
      <c r="J20" s="3" t="s">
        <v>3</v>
      </c>
    </row>
    <row r="21" spans="1:10" thickBot="1" x14ac:dyDescent="0.3">
      <c r="A21" s="3" t="s">
        <v>37</v>
      </c>
      <c r="B21" s="17">
        <v>45574</v>
      </c>
      <c r="C21" s="3" t="s">
        <v>48</v>
      </c>
      <c r="D21" s="3">
        <v>2</v>
      </c>
      <c r="E21" s="3" t="s">
        <v>1</v>
      </c>
      <c r="F21" s="3" t="s">
        <v>192</v>
      </c>
      <c r="G21" s="3">
        <v>0</v>
      </c>
      <c r="H21" s="3" t="s">
        <v>3</v>
      </c>
      <c r="I21" s="3" t="s">
        <v>3</v>
      </c>
      <c r="J21" s="3" t="s">
        <v>3</v>
      </c>
    </row>
    <row r="22" spans="1:10" ht="26.25" thickBot="1" x14ac:dyDescent="0.3">
      <c r="A22" s="3" t="s">
        <v>37</v>
      </c>
      <c r="B22" s="17">
        <v>45575</v>
      </c>
      <c r="C22" s="3" t="s">
        <v>49</v>
      </c>
      <c r="D22" s="3">
        <v>2</v>
      </c>
      <c r="E22" s="5" t="s">
        <v>50</v>
      </c>
      <c r="F22" s="3" t="s">
        <v>100</v>
      </c>
      <c r="G22" s="3">
        <v>2</v>
      </c>
      <c r="H22" s="3" t="s">
        <v>101</v>
      </c>
      <c r="I22" s="3" t="s">
        <v>3</v>
      </c>
      <c r="J22" s="3" t="s">
        <v>3</v>
      </c>
    </row>
    <row r="23" spans="1:10" ht="26.25" thickBot="1" x14ac:dyDescent="0.3">
      <c r="A23" s="3" t="s">
        <v>37</v>
      </c>
      <c r="B23" s="17">
        <v>45575</v>
      </c>
      <c r="C23" s="6" t="s">
        <v>96</v>
      </c>
      <c r="D23" s="3">
        <v>2</v>
      </c>
      <c r="E23" s="3" t="s">
        <v>94</v>
      </c>
      <c r="F23" s="3" t="s">
        <v>51</v>
      </c>
      <c r="G23" s="3"/>
      <c r="H23" s="3" t="s">
        <v>95</v>
      </c>
      <c r="I23" s="3"/>
      <c r="J23" s="3"/>
    </row>
    <row r="24" spans="1:10" ht="26.25" thickBot="1" x14ac:dyDescent="0.3">
      <c r="A24" s="3" t="s">
        <v>52</v>
      </c>
      <c r="B24" s="17">
        <v>45575</v>
      </c>
      <c r="C24" s="6" t="s">
        <v>93</v>
      </c>
      <c r="D24" s="3">
        <v>2</v>
      </c>
      <c r="E24" s="5" t="s">
        <v>50</v>
      </c>
      <c r="F24" s="3" t="s">
        <v>53</v>
      </c>
      <c r="G24" s="3">
        <v>4</v>
      </c>
      <c r="H24" s="3" t="s">
        <v>54</v>
      </c>
      <c r="I24" s="3" t="s">
        <v>3</v>
      </c>
      <c r="J24" s="3" t="s">
        <v>3</v>
      </c>
    </row>
    <row r="25" spans="1:10" ht="26.25" thickBot="1" x14ac:dyDescent="0.3">
      <c r="A25" s="3" t="s">
        <v>52</v>
      </c>
      <c r="B25" s="17">
        <v>45575</v>
      </c>
      <c r="C25" s="6" t="s">
        <v>92</v>
      </c>
      <c r="D25" s="3">
        <v>2</v>
      </c>
      <c r="E25" s="5" t="s">
        <v>50</v>
      </c>
      <c r="F25" s="3" t="s">
        <v>55</v>
      </c>
      <c r="G25" s="3">
        <v>2</v>
      </c>
      <c r="H25" s="3" t="s">
        <v>56</v>
      </c>
      <c r="I25" s="3" t="s">
        <v>3</v>
      </c>
      <c r="J25" s="3" t="s">
        <v>3</v>
      </c>
    </row>
    <row r="26" spans="1:10" ht="23.25" customHeight="1" thickBot="1" x14ac:dyDescent="0.3">
      <c r="A26" s="3" t="s">
        <v>37</v>
      </c>
      <c r="B26" s="17">
        <v>45575</v>
      </c>
      <c r="C26" s="6" t="s">
        <v>87</v>
      </c>
      <c r="D26" s="3">
        <v>1</v>
      </c>
      <c r="E26" s="3" t="s">
        <v>57</v>
      </c>
      <c r="F26" s="3" t="s">
        <v>86</v>
      </c>
      <c r="G26" s="3" t="s">
        <v>3</v>
      </c>
      <c r="H26" s="6" t="s">
        <v>3</v>
      </c>
      <c r="I26" s="3" t="s">
        <v>3</v>
      </c>
      <c r="J26" s="3" t="s">
        <v>3</v>
      </c>
    </row>
    <row r="27" spans="1:10" ht="26.25" thickBot="1" x14ac:dyDescent="0.3">
      <c r="A27" s="3" t="s">
        <v>52</v>
      </c>
      <c r="B27" s="17">
        <v>45575</v>
      </c>
      <c r="C27" s="6" t="s">
        <v>84</v>
      </c>
      <c r="D27" s="3">
        <v>8</v>
      </c>
      <c r="E27" s="5" t="s">
        <v>50</v>
      </c>
      <c r="F27" s="6" t="s">
        <v>85</v>
      </c>
      <c r="G27" s="3">
        <v>4</v>
      </c>
      <c r="H27" s="3" t="s">
        <v>58</v>
      </c>
      <c r="I27" s="3" t="s">
        <v>3</v>
      </c>
      <c r="J27" s="3" t="s">
        <v>3</v>
      </c>
    </row>
    <row r="28" spans="1:10" ht="26.25" thickBot="1" x14ac:dyDescent="0.3">
      <c r="A28" s="3" t="s">
        <v>52</v>
      </c>
      <c r="B28" s="17">
        <v>45575</v>
      </c>
      <c r="C28" s="6" t="s">
        <v>82</v>
      </c>
      <c r="D28" s="3">
        <v>4</v>
      </c>
      <c r="E28" s="3" t="s">
        <v>60</v>
      </c>
      <c r="F28" s="6" t="s">
        <v>83</v>
      </c>
      <c r="G28" s="3">
        <v>3</v>
      </c>
      <c r="H28" s="3" t="s">
        <v>59</v>
      </c>
      <c r="I28" s="3" t="s">
        <v>3</v>
      </c>
      <c r="J28" s="3" t="s">
        <v>3</v>
      </c>
    </row>
    <row r="29" spans="1:10" ht="26.25" thickBot="1" x14ac:dyDescent="0.3">
      <c r="A29" s="6" t="s">
        <v>69</v>
      </c>
      <c r="B29" s="17">
        <v>45579</v>
      </c>
      <c r="C29" s="6" t="s">
        <v>80</v>
      </c>
      <c r="D29" s="6">
        <v>2</v>
      </c>
      <c r="E29" s="6" t="s">
        <v>60</v>
      </c>
      <c r="F29" s="6" t="s">
        <v>70</v>
      </c>
      <c r="G29" s="6">
        <v>1</v>
      </c>
      <c r="H29" s="6" t="s">
        <v>81</v>
      </c>
      <c r="I29" s="3" t="s">
        <v>3</v>
      </c>
      <c r="J29" s="3" t="s">
        <v>3</v>
      </c>
    </row>
    <row r="30" spans="1:10" ht="26.25" thickBot="1" x14ac:dyDescent="0.3">
      <c r="A30" s="6" t="s">
        <v>52</v>
      </c>
      <c r="B30" s="18">
        <v>45579</v>
      </c>
      <c r="C30" s="6" t="s">
        <v>79</v>
      </c>
      <c r="D30" s="7">
        <v>2</v>
      </c>
      <c r="E30" s="8" t="s">
        <v>1</v>
      </c>
      <c r="F30" s="8" t="s">
        <v>72</v>
      </c>
      <c r="G30" s="3">
        <v>1</v>
      </c>
      <c r="H30" s="8" t="s">
        <v>74</v>
      </c>
      <c r="I30" s="3" t="s">
        <v>3</v>
      </c>
      <c r="J30" s="3" t="s">
        <v>3</v>
      </c>
    </row>
    <row r="31" spans="1:10" ht="26.25" thickBot="1" x14ac:dyDescent="0.3">
      <c r="A31" s="6" t="s">
        <v>52</v>
      </c>
      <c r="B31" s="18">
        <v>45579</v>
      </c>
      <c r="C31" s="6" t="s">
        <v>89</v>
      </c>
      <c r="D31" s="7">
        <v>6</v>
      </c>
      <c r="E31" s="8" t="s">
        <v>1</v>
      </c>
      <c r="F31" s="6" t="s">
        <v>71</v>
      </c>
      <c r="G31" s="6">
        <v>2</v>
      </c>
      <c r="H31" s="8" t="s">
        <v>88</v>
      </c>
      <c r="I31" s="3" t="s">
        <v>3</v>
      </c>
      <c r="J31" s="3" t="s">
        <v>3</v>
      </c>
    </row>
    <row r="32" spans="1:10" ht="26.25" thickBot="1" x14ac:dyDescent="0.3">
      <c r="A32" s="6" t="s">
        <v>52</v>
      </c>
      <c r="B32" s="18">
        <v>45579</v>
      </c>
      <c r="C32" s="6" t="s">
        <v>78</v>
      </c>
      <c r="D32" s="7">
        <v>2</v>
      </c>
      <c r="E32" s="8" t="s">
        <v>1</v>
      </c>
      <c r="F32" s="6" t="s">
        <v>76</v>
      </c>
      <c r="G32" s="9">
        <v>1</v>
      </c>
      <c r="H32" s="9" t="s">
        <v>75</v>
      </c>
      <c r="I32" s="3" t="s">
        <v>3</v>
      </c>
      <c r="J32" s="3" t="s">
        <v>3</v>
      </c>
    </row>
    <row r="33" spans="1:10" ht="30" x14ac:dyDescent="0.25">
      <c r="A33" s="6" t="s">
        <v>52</v>
      </c>
      <c r="B33" s="18">
        <v>45580</v>
      </c>
      <c r="C33" s="6" t="s">
        <v>77</v>
      </c>
      <c r="D33" s="9">
        <v>3</v>
      </c>
      <c r="E33" s="9" t="s">
        <v>1</v>
      </c>
      <c r="F33" s="9" t="s">
        <v>189</v>
      </c>
      <c r="G33" s="9">
        <v>0</v>
      </c>
      <c r="H33" s="9" t="s">
        <v>3</v>
      </c>
      <c r="I33" s="9" t="s">
        <v>3</v>
      </c>
      <c r="J33" s="9" t="s">
        <v>190</v>
      </c>
    </row>
    <row r="34" spans="1:10" ht="25.5" customHeight="1" x14ac:dyDescent="0.25">
      <c r="A34" s="6" t="s">
        <v>52</v>
      </c>
      <c r="B34" s="18">
        <v>45580</v>
      </c>
      <c r="C34" s="6" t="s">
        <v>90</v>
      </c>
      <c r="D34" s="7">
        <v>1000</v>
      </c>
      <c r="E34" s="26" t="s">
        <v>102</v>
      </c>
      <c r="F34" s="26"/>
      <c r="G34" s="26"/>
      <c r="H34" s="26"/>
      <c r="I34" s="9" t="s">
        <v>3</v>
      </c>
      <c r="J34" s="9" t="s">
        <v>3</v>
      </c>
    </row>
    <row r="35" spans="1:10" ht="25.5" x14ac:dyDescent="0.25">
      <c r="A35" s="6" t="s">
        <v>69</v>
      </c>
      <c r="B35" s="18">
        <v>45580</v>
      </c>
      <c r="C35" s="6" t="s">
        <v>91</v>
      </c>
      <c r="D35" s="7">
        <v>1000</v>
      </c>
      <c r="E35" s="26"/>
      <c r="F35" s="26"/>
      <c r="G35" s="26"/>
      <c r="H35" s="26"/>
      <c r="I35" s="9" t="s">
        <v>3</v>
      </c>
      <c r="J35" s="9" t="s">
        <v>3</v>
      </c>
    </row>
    <row r="36" spans="1:10" ht="30" x14ac:dyDescent="0.25">
      <c r="A36" s="6" t="s">
        <v>69</v>
      </c>
      <c r="B36" s="18">
        <v>45580</v>
      </c>
      <c r="C36" s="6" t="s">
        <v>97</v>
      </c>
      <c r="D36" s="9">
        <v>10</v>
      </c>
      <c r="E36" s="9" t="s">
        <v>1</v>
      </c>
      <c r="F36" s="9" t="s">
        <v>98</v>
      </c>
      <c r="G36" s="9">
        <v>1</v>
      </c>
      <c r="H36" s="9" t="s">
        <v>99</v>
      </c>
      <c r="I36" s="9" t="s">
        <v>3</v>
      </c>
      <c r="J36" s="9" t="s">
        <v>188</v>
      </c>
    </row>
    <row r="37" spans="1:10" ht="25.5" x14ac:dyDescent="0.25">
      <c r="A37" s="6" t="s">
        <v>52</v>
      </c>
      <c r="B37" s="18">
        <v>45580</v>
      </c>
      <c r="C37" s="9" t="s">
        <v>105</v>
      </c>
      <c r="D37" s="9">
        <v>1</v>
      </c>
      <c r="E37" s="10" t="s">
        <v>57</v>
      </c>
      <c r="F37" s="9" t="s">
        <v>107</v>
      </c>
      <c r="G37" s="9">
        <v>0</v>
      </c>
      <c r="H37" s="9" t="s">
        <v>3</v>
      </c>
      <c r="I37" s="9" t="s">
        <v>3</v>
      </c>
      <c r="J37" s="9" t="s">
        <v>171</v>
      </c>
    </row>
    <row r="38" spans="1:10" ht="30" x14ac:dyDescent="0.25">
      <c r="A38" s="30" t="s">
        <v>52</v>
      </c>
      <c r="B38" s="31">
        <v>45580</v>
      </c>
      <c r="C38" s="24" t="s">
        <v>105</v>
      </c>
      <c r="D38" s="24">
        <v>1</v>
      </c>
      <c r="E38" s="32" t="s">
        <v>57</v>
      </c>
      <c r="F38" s="24" t="s">
        <v>121</v>
      </c>
      <c r="G38" s="24">
        <v>0</v>
      </c>
      <c r="H38" s="24" t="s">
        <v>3</v>
      </c>
      <c r="I38" s="24" t="s">
        <v>3</v>
      </c>
      <c r="J38" s="24" t="s">
        <v>171</v>
      </c>
    </row>
    <row r="39" spans="1:10" ht="30" x14ac:dyDescent="0.25">
      <c r="A39" s="30" t="s">
        <v>52</v>
      </c>
      <c r="B39" s="31">
        <v>45580</v>
      </c>
      <c r="C39" s="24" t="s">
        <v>105</v>
      </c>
      <c r="D39" s="24">
        <v>1</v>
      </c>
      <c r="E39" s="32" t="s">
        <v>57</v>
      </c>
      <c r="F39" s="24" t="s">
        <v>129</v>
      </c>
      <c r="G39" s="24">
        <v>0</v>
      </c>
      <c r="H39" s="24" t="s">
        <v>3</v>
      </c>
      <c r="I39" s="24" t="s">
        <v>3</v>
      </c>
      <c r="J39" s="24" t="s">
        <v>171</v>
      </c>
    </row>
    <row r="40" spans="1:10" ht="30" x14ac:dyDescent="0.25">
      <c r="A40" s="30" t="s">
        <v>52</v>
      </c>
      <c r="B40" s="31">
        <v>45580</v>
      </c>
      <c r="C40" s="24" t="s">
        <v>105</v>
      </c>
      <c r="D40" s="24">
        <v>1</v>
      </c>
      <c r="E40" s="32" t="s">
        <v>57</v>
      </c>
      <c r="F40" s="24" t="s">
        <v>133</v>
      </c>
      <c r="G40" s="24">
        <v>0</v>
      </c>
      <c r="H40" s="24" t="s">
        <v>3</v>
      </c>
      <c r="I40" s="24" t="s">
        <v>3</v>
      </c>
      <c r="J40" s="24" t="s">
        <v>171</v>
      </c>
    </row>
    <row r="41" spans="1:10" ht="30" x14ac:dyDescent="0.25">
      <c r="A41" s="30" t="s">
        <v>52</v>
      </c>
      <c r="B41" s="31">
        <v>45580</v>
      </c>
      <c r="C41" s="24" t="s">
        <v>105</v>
      </c>
      <c r="D41" s="24">
        <v>1</v>
      </c>
      <c r="E41" s="32" t="s">
        <v>57</v>
      </c>
      <c r="F41" s="24" t="s">
        <v>134</v>
      </c>
      <c r="G41" s="24">
        <v>0</v>
      </c>
      <c r="H41" s="24" t="s">
        <v>3</v>
      </c>
      <c r="I41" s="24" t="s">
        <v>3</v>
      </c>
      <c r="J41" s="24" t="s">
        <v>171</v>
      </c>
    </row>
    <row r="42" spans="1:10" ht="30" x14ac:dyDescent="0.25">
      <c r="A42" s="30" t="s">
        <v>52</v>
      </c>
      <c r="B42" s="31">
        <v>45580</v>
      </c>
      <c r="C42" s="24" t="s">
        <v>105</v>
      </c>
      <c r="D42" s="24">
        <v>1</v>
      </c>
      <c r="E42" s="32" t="s">
        <v>57</v>
      </c>
      <c r="F42" s="24" t="s">
        <v>272</v>
      </c>
      <c r="G42" s="24">
        <v>0</v>
      </c>
      <c r="H42" s="24" t="s">
        <v>3</v>
      </c>
      <c r="I42" s="24" t="s">
        <v>3</v>
      </c>
      <c r="J42" s="24" t="s">
        <v>171</v>
      </c>
    </row>
    <row r="43" spans="1:10" ht="25.5" x14ac:dyDescent="0.25">
      <c r="A43" s="6" t="s">
        <v>52</v>
      </c>
      <c r="B43" s="18">
        <v>45580</v>
      </c>
      <c r="C43" s="9" t="s">
        <v>105</v>
      </c>
      <c r="D43" s="9">
        <v>1</v>
      </c>
      <c r="E43" s="10" t="s">
        <v>57</v>
      </c>
      <c r="F43" s="9" t="s">
        <v>159</v>
      </c>
      <c r="G43" s="9">
        <v>0</v>
      </c>
      <c r="H43" s="9" t="s">
        <v>3</v>
      </c>
      <c r="I43" s="9" t="s">
        <v>3</v>
      </c>
      <c r="J43" s="9" t="s">
        <v>171</v>
      </c>
    </row>
    <row r="44" spans="1:10" ht="30" x14ac:dyDescent="0.25">
      <c r="A44" s="6" t="s">
        <v>52</v>
      </c>
      <c r="B44" s="18">
        <v>45580</v>
      </c>
      <c r="C44" s="9" t="s">
        <v>105</v>
      </c>
      <c r="D44" s="9">
        <v>1</v>
      </c>
      <c r="E44" s="10" t="s">
        <v>57</v>
      </c>
      <c r="F44" s="9" t="s">
        <v>273</v>
      </c>
      <c r="G44" s="9">
        <v>0</v>
      </c>
      <c r="H44" s="9" t="s">
        <v>3</v>
      </c>
      <c r="I44" s="9" t="s">
        <v>3</v>
      </c>
      <c r="J44" s="9" t="s">
        <v>171</v>
      </c>
    </row>
    <row r="45" spans="1:10" ht="25.5" x14ac:dyDescent="0.25">
      <c r="A45" s="6" t="s">
        <v>52</v>
      </c>
      <c r="B45" s="18">
        <v>45580</v>
      </c>
      <c r="C45" s="9" t="s">
        <v>105</v>
      </c>
      <c r="D45" s="9">
        <v>1</v>
      </c>
      <c r="E45" s="10" t="s">
        <v>57</v>
      </c>
      <c r="F45" s="9" t="s">
        <v>173</v>
      </c>
      <c r="G45" s="9">
        <v>0</v>
      </c>
      <c r="H45" s="9" t="s">
        <v>3</v>
      </c>
      <c r="I45" s="9" t="s">
        <v>3</v>
      </c>
      <c r="J45" s="9" t="s">
        <v>171</v>
      </c>
    </row>
    <row r="46" spans="1:10" ht="25.5" x14ac:dyDescent="0.25">
      <c r="A46" s="6" t="s">
        <v>52</v>
      </c>
      <c r="B46" s="18">
        <v>45580</v>
      </c>
      <c r="C46" s="9" t="s">
        <v>105</v>
      </c>
      <c r="D46" s="9">
        <v>1</v>
      </c>
      <c r="E46" s="10" t="s">
        <v>57</v>
      </c>
      <c r="F46" s="9" t="s">
        <v>174</v>
      </c>
      <c r="G46" s="9">
        <v>0</v>
      </c>
      <c r="H46" s="9" t="s">
        <v>3</v>
      </c>
      <c r="I46" s="9" t="s">
        <v>3</v>
      </c>
      <c r="J46" s="9" t="s">
        <v>171</v>
      </c>
    </row>
    <row r="47" spans="1:10" ht="15" x14ac:dyDescent="0.25">
      <c r="A47" s="25" t="s">
        <v>120</v>
      </c>
      <c r="B47" s="25"/>
      <c r="C47" s="25"/>
      <c r="D47" s="25"/>
      <c r="E47" s="25"/>
      <c r="F47" s="25"/>
      <c r="G47" s="25"/>
      <c r="H47" s="25"/>
      <c r="I47" s="25"/>
      <c r="J47" s="25"/>
    </row>
    <row r="48" spans="1:10" ht="15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 ht="25.5" x14ac:dyDescent="0.25">
      <c r="A49" s="6" t="s">
        <v>52</v>
      </c>
      <c r="B49" s="18">
        <v>45580</v>
      </c>
      <c r="C49" s="9" t="s">
        <v>108</v>
      </c>
      <c r="D49" s="9">
        <v>4</v>
      </c>
      <c r="E49" s="9" t="s">
        <v>1</v>
      </c>
      <c r="F49" s="9" t="s">
        <v>109</v>
      </c>
      <c r="G49" s="9">
        <v>0</v>
      </c>
      <c r="H49" s="9" t="s">
        <v>3</v>
      </c>
      <c r="I49" s="9" t="s">
        <v>3</v>
      </c>
      <c r="J49" s="9" t="s">
        <v>3</v>
      </c>
    </row>
    <row r="50" spans="1:10" ht="25.5" x14ac:dyDescent="0.25">
      <c r="A50" s="6" t="s">
        <v>52</v>
      </c>
      <c r="B50" s="18">
        <v>45580</v>
      </c>
      <c r="C50" s="9" t="s">
        <v>110</v>
      </c>
      <c r="D50" s="9">
        <v>3</v>
      </c>
      <c r="E50" s="9" t="s">
        <v>1</v>
      </c>
      <c r="F50" s="9" t="s">
        <v>111</v>
      </c>
      <c r="G50" s="9">
        <v>0</v>
      </c>
      <c r="H50" s="9" t="s">
        <v>3</v>
      </c>
      <c r="I50" s="9" t="s">
        <v>3</v>
      </c>
      <c r="J50" s="9" t="s">
        <v>3</v>
      </c>
    </row>
    <row r="51" spans="1:10" ht="45" x14ac:dyDescent="0.25">
      <c r="A51" s="6" t="s">
        <v>52</v>
      </c>
      <c r="B51" s="18">
        <v>45580</v>
      </c>
      <c r="C51" s="9" t="s">
        <v>112</v>
      </c>
      <c r="D51" s="9">
        <v>4</v>
      </c>
      <c r="E51" s="9" t="s">
        <v>1</v>
      </c>
      <c r="F51" s="9" t="s">
        <v>113</v>
      </c>
      <c r="G51" s="9">
        <v>1</v>
      </c>
      <c r="H51" s="9" t="s">
        <v>172</v>
      </c>
      <c r="I51" s="9" t="s">
        <v>3</v>
      </c>
      <c r="J51" s="9" t="s">
        <v>194</v>
      </c>
    </row>
    <row r="52" spans="1:10" ht="30" x14ac:dyDescent="0.25">
      <c r="A52" s="6" t="s">
        <v>52</v>
      </c>
      <c r="B52" s="18">
        <v>45580</v>
      </c>
      <c r="C52" s="9" t="s">
        <v>124</v>
      </c>
      <c r="D52" s="9">
        <v>4</v>
      </c>
      <c r="E52" s="9" t="s">
        <v>1</v>
      </c>
      <c r="F52" s="9" t="s">
        <v>116</v>
      </c>
      <c r="G52" s="9">
        <v>1</v>
      </c>
      <c r="H52" s="9" t="s">
        <v>117</v>
      </c>
      <c r="I52" s="9" t="s">
        <v>140</v>
      </c>
      <c r="J52" s="9" t="s">
        <v>118</v>
      </c>
    </row>
    <row r="53" spans="1:10" ht="30" x14ac:dyDescent="0.25">
      <c r="A53" s="6" t="s">
        <v>52</v>
      </c>
      <c r="B53" s="18">
        <v>45580</v>
      </c>
      <c r="C53" s="9" t="s">
        <v>131</v>
      </c>
      <c r="D53" s="9">
        <v>3</v>
      </c>
      <c r="E53" s="9" t="s">
        <v>1</v>
      </c>
      <c r="F53" s="9" t="s">
        <v>132</v>
      </c>
      <c r="G53" s="9">
        <v>1</v>
      </c>
      <c r="H53" s="9" t="s">
        <v>135</v>
      </c>
      <c r="I53" s="9" t="s">
        <v>3</v>
      </c>
      <c r="J53" s="9" t="s">
        <v>188</v>
      </c>
    </row>
    <row r="54" spans="1:10" ht="25.5" x14ac:dyDescent="0.25">
      <c r="A54" s="6" t="s">
        <v>52</v>
      </c>
      <c r="B54" s="18">
        <v>45580</v>
      </c>
      <c r="C54" s="9" t="s">
        <v>122</v>
      </c>
      <c r="D54" s="9">
        <v>2</v>
      </c>
      <c r="E54" s="9" t="s">
        <v>1</v>
      </c>
      <c r="F54" s="9" t="s">
        <v>123</v>
      </c>
      <c r="G54" s="9">
        <v>0</v>
      </c>
      <c r="H54" s="9" t="s">
        <v>3</v>
      </c>
      <c r="I54" s="9" t="s">
        <v>3</v>
      </c>
      <c r="J54" s="9" t="s">
        <v>3</v>
      </c>
    </row>
    <row r="55" spans="1:10" ht="30" x14ac:dyDescent="0.25">
      <c r="A55" s="6" t="s">
        <v>52</v>
      </c>
      <c r="B55" s="18">
        <v>45580</v>
      </c>
      <c r="C55" s="9" t="s">
        <v>124</v>
      </c>
      <c r="D55" s="9">
        <v>4</v>
      </c>
      <c r="E55" s="9" t="s">
        <v>1</v>
      </c>
      <c r="F55" s="9" t="s">
        <v>125</v>
      </c>
      <c r="G55" s="9">
        <v>2</v>
      </c>
      <c r="H55" s="9" t="s">
        <v>130</v>
      </c>
      <c r="I55" s="9" t="s">
        <v>140</v>
      </c>
      <c r="J55" s="9" t="s">
        <v>118</v>
      </c>
    </row>
    <row r="56" spans="1:10" ht="45" x14ac:dyDescent="0.25">
      <c r="A56" s="6" t="s">
        <v>52</v>
      </c>
      <c r="B56" s="18">
        <v>45580</v>
      </c>
      <c r="C56" s="9" t="s">
        <v>114</v>
      </c>
      <c r="D56" s="9">
        <v>5</v>
      </c>
      <c r="E56" s="9" t="s">
        <v>1</v>
      </c>
      <c r="F56" s="9" t="s">
        <v>126</v>
      </c>
      <c r="G56" s="9">
        <v>3</v>
      </c>
      <c r="H56" s="9" t="s">
        <v>136</v>
      </c>
      <c r="I56" s="9" t="s">
        <v>140</v>
      </c>
      <c r="J56" s="9" t="s">
        <v>139</v>
      </c>
    </row>
    <row r="57" spans="1:10" ht="30" x14ac:dyDescent="0.25">
      <c r="A57" s="30" t="s">
        <v>52</v>
      </c>
      <c r="B57" s="31">
        <v>45580</v>
      </c>
      <c r="C57" s="24" t="s">
        <v>127</v>
      </c>
      <c r="D57" s="24">
        <v>3</v>
      </c>
      <c r="E57" s="24" t="s">
        <v>115</v>
      </c>
      <c r="F57" s="24" t="s">
        <v>128</v>
      </c>
      <c r="G57" s="24">
        <v>0</v>
      </c>
      <c r="H57" s="24" t="s">
        <v>274</v>
      </c>
      <c r="I57" s="24" t="s">
        <v>3</v>
      </c>
      <c r="J57" s="24" t="s">
        <v>199</v>
      </c>
    </row>
    <row r="58" spans="1:10" ht="25.5" x14ac:dyDescent="0.25">
      <c r="A58" s="6" t="s">
        <v>52</v>
      </c>
      <c r="B58" s="18">
        <v>45580</v>
      </c>
      <c r="C58" s="9" t="s">
        <v>137</v>
      </c>
      <c r="D58" s="9">
        <v>2</v>
      </c>
      <c r="E58" s="9" t="s">
        <v>1</v>
      </c>
      <c r="F58" s="9" t="s">
        <v>138</v>
      </c>
      <c r="G58" s="9">
        <v>0</v>
      </c>
      <c r="H58" s="9" t="s">
        <v>3</v>
      </c>
      <c r="I58" s="9" t="s">
        <v>3</v>
      </c>
      <c r="J58" s="9" t="s">
        <v>3</v>
      </c>
    </row>
    <row r="59" spans="1:10" ht="25.5" x14ac:dyDescent="0.25">
      <c r="A59" s="6" t="s">
        <v>52</v>
      </c>
      <c r="B59" s="18">
        <v>45580</v>
      </c>
      <c r="C59" s="9" t="s">
        <v>141</v>
      </c>
      <c r="D59" s="9">
        <v>2</v>
      </c>
      <c r="E59" s="9" t="s">
        <v>1</v>
      </c>
      <c r="F59" s="9" t="s">
        <v>144</v>
      </c>
      <c r="G59" s="9">
        <v>0</v>
      </c>
      <c r="H59" s="9" t="s">
        <v>3</v>
      </c>
      <c r="I59" s="9" t="s">
        <v>3</v>
      </c>
      <c r="J59" s="9" t="s">
        <v>3</v>
      </c>
    </row>
    <row r="60" spans="1:10" ht="30" x14ac:dyDescent="0.25">
      <c r="A60" s="6" t="s">
        <v>52</v>
      </c>
      <c r="B60" s="18">
        <v>45580</v>
      </c>
      <c r="C60" s="9" t="s">
        <v>142</v>
      </c>
      <c r="D60" s="9">
        <v>3</v>
      </c>
      <c r="E60" s="12" t="s">
        <v>50</v>
      </c>
      <c r="F60" s="9" t="s">
        <v>143</v>
      </c>
      <c r="G60" s="9">
        <v>0</v>
      </c>
      <c r="H60" s="9" t="s">
        <v>3</v>
      </c>
      <c r="I60" s="9" t="s">
        <v>3</v>
      </c>
      <c r="J60" s="9" t="s">
        <v>215</v>
      </c>
    </row>
    <row r="61" spans="1:10" ht="25.5" x14ac:dyDescent="0.25">
      <c r="A61" s="6" t="s">
        <v>52</v>
      </c>
      <c r="B61" s="18">
        <v>45580</v>
      </c>
      <c r="C61" s="9" t="s">
        <v>145</v>
      </c>
      <c r="D61" s="9">
        <v>2</v>
      </c>
      <c r="E61" s="9" t="s">
        <v>1</v>
      </c>
      <c r="F61" s="9" t="s">
        <v>146</v>
      </c>
      <c r="G61" s="9">
        <v>0</v>
      </c>
      <c r="H61" s="9" t="s">
        <v>3</v>
      </c>
      <c r="I61" s="9" t="s">
        <v>3</v>
      </c>
      <c r="J61" s="9" t="s">
        <v>3</v>
      </c>
    </row>
    <row r="62" spans="1:10" ht="30" x14ac:dyDescent="0.25">
      <c r="A62" s="6" t="s">
        <v>52</v>
      </c>
      <c r="B62" s="18">
        <v>45580</v>
      </c>
      <c r="C62" s="9" t="s">
        <v>147</v>
      </c>
      <c r="D62" s="9">
        <v>3</v>
      </c>
      <c r="E62" s="9" t="s">
        <v>1</v>
      </c>
      <c r="F62" s="9" t="s">
        <v>148</v>
      </c>
      <c r="G62" s="9">
        <v>1</v>
      </c>
      <c r="H62" s="9" t="s">
        <v>186</v>
      </c>
      <c r="I62" s="9" t="s">
        <v>3</v>
      </c>
      <c r="J62" s="9" t="s">
        <v>171</v>
      </c>
    </row>
    <row r="63" spans="1:10" ht="45" x14ac:dyDescent="0.25">
      <c r="A63" s="6" t="s">
        <v>52</v>
      </c>
      <c r="B63" s="18">
        <v>45580</v>
      </c>
      <c r="C63" s="9" t="s">
        <v>149</v>
      </c>
      <c r="D63" s="9">
        <v>6</v>
      </c>
      <c r="E63" s="9" t="s">
        <v>1</v>
      </c>
      <c r="F63" s="9" t="s">
        <v>150</v>
      </c>
      <c r="G63" s="9">
        <v>1</v>
      </c>
      <c r="H63" s="9" t="s">
        <v>151</v>
      </c>
      <c r="I63" s="9" t="s">
        <v>3</v>
      </c>
      <c r="J63" s="9" t="s">
        <v>3</v>
      </c>
    </row>
    <row r="64" spans="1:10" ht="25.5" x14ac:dyDescent="0.25">
      <c r="A64" s="6" t="s">
        <v>52</v>
      </c>
      <c r="B64" s="18">
        <v>45580</v>
      </c>
      <c r="C64" s="9" t="s">
        <v>152</v>
      </c>
      <c r="D64" s="9">
        <v>3</v>
      </c>
      <c r="E64" s="9" t="s">
        <v>1</v>
      </c>
      <c r="F64" s="9" t="s">
        <v>153</v>
      </c>
      <c r="G64" s="9">
        <v>0</v>
      </c>
      <c r="H64" s="9" t="s">
        <v>3</v>
      </c>
      <c r="I64" s="9" t="s">
        <v>3</v>
      </c>
      <c r="J64" s="9" t="s">
        <v>3</v>
      </c>
    </row>
    <row r="65" spans="1:10" ht="25.5" x14ac:dyDescent="0.25">
      <c r="A65" s="6" t="s">
        <v>52</v>
      </c>
      <c r="B65" s="18">
        <v>45580</v>
      </c>
      <c r="C65" s="9" t="s">
        <v>154</v>
      </c>
      <c r="D65" s="9">
        <v>2</v>
      </c>
      <c r="E65" s="9" t="s">
        <v>1</v>
      </c>
      <c r="F65" s="9" t="s">
        <v>155</v>
      </c>
      <c r="G65" s="9">
        <v>0</v>
      </c>
      <c r="H65" s="9" t="s">
        <v>3</v>
      </c>
      <c r="I65" s="9" t="s">
        <v>3</v>
      </c>
      <c r="J65" s="9" t="s">
        <v>3</v>
      </c>
    </row>
    <row r="66" spans="1:10" ht="25.5" x14ac:dyDescent="0.25">
      <c r="A66" s="6" t="s">
        <v>52</v>
      </c>
      <c r="B66" s="18">
        <v>45580</v>
      </c>
      <c r="C66" s="9" t="s">
        <v>156</v>
      </c>
      <c r="D66" s="9">
        <v>5</v>
      </c>
      <c r="E66" s="9" t="s">
        <v>1</v>
      </c>
      <c r="F66" s="9" t="s">
        <v>157</v>
      </c>
      <c r="G66" s="9">
        <v>1</v>
      </c>
      <c r="H66" s="9" t="s">
        <v>158</v>
      </c>
      <c r="I66" s="9" t="s">
        <v>3</v>
      </c>
      <c r="J66" s="9" t="s">
        <v>118</v>
      </c>
    </row>
    <row r="67" spans="1:10" ht="30" x14ac:dyDescent="0.25">
      <c r="A67" s="6" t="s">
        <v>52</v>
      </c>
      <c r="B67" s="18">
        <v>45580</v>
      </c>
      <c r="C67" s="9" t="s">
        <v>160</v>
      </c>
      <c r="D67" s="9">
        <v>6</v>
      </c>
      <c r="E67" s="9" t="s">
        <v>1</v>
      </c>
      <c r="F67" s="9" t="s">
        <v>163</v>
      </c>
      <c r="G67" s="9">
        <v>1</v>
      </c>
      <c r="H67" s="9" t="s">
        <v>164</v>
      </c>
      <c r="I67" s="9" t="s">
        <v>3</v>
      </c>
      <c r="J67" s="9" t="s">
        <v>3</v>
      </c>
    </row>
    <row r="68" spans="1:10" ht="30" x14ac:dyDescent="0.25">
      <c r="A68" s="6" t="s">
        <v>52</v>
      </c>
      <c r="B68" s="18">
        <v>45580</v>
      </c>
      <c r="C68" s="9" t="s">
        <v>161</v>
      </c>
      <c r="D68" s="9">
        <v>4</v>
      </c>
      <c r="E68" s="9" t="s">
        <v>1</v>
      </c>
      <c r="F68" s="9" t="s">
        <v>165</v>
      </c>
      <c r="G68" s="9">
        <v>0</v>
      </c>
      <c r="H68" s="9" t="s">
        <v>3</v>
      </c>
      <c r="I68" s="9" t="s">
        <v>3</v>
      </c>
      <c r="J68" s="20" t="s">
        <v>3</v>
      </c>
    </row>
    <row r="69" spans="1:10" ht="30" x14ac:dyDescent="0.25">
      <c r="A69" s="6" t="s">
        <v>52</v>
      </c>
      <c r="B69" s="18">
        <v>45580</v>
      </c>
      <c r="C69" s="9" t="s">
        <v>168</v>
      </c>
      <c r="D69" s="9">
        <v>2</v>
      </c>
      <c r="E69" s="11" t="s">
        <v>115</v>
      </c>
      <c r="F69" s="9" t="s">
        <v>169</v>
      </c>
      <c r="G69" s="9">
        <v>1</v>
      </c>
      <c r="H69" s="9" t="s">
        <v>170</v>
      </c>
      <c r="I69" s="9" t="s">
        <v>3</v>
      </c>
      <c r="J69" s="9" t="s">
        <v>171</v>
      </c>
    </row>
    <row r="70" spans="1:10" ht="25.5" x14ac:dyDescent="0.25">
      <c r="A70" s="6" t="s">
        <v>52</v>
      </c>
      <c r="B70" s="18">
        <v>45580</v>
      </c>
      <c r="C70" s="9" t="s">
        <v>166</v>
      </c>
      <c r="D70" s="9">
        <v>3</v>
      </c>
      <c r="E70" s="9" t="s">
        <v>1</v>
      </c>
      <c r="F70" s="9" t="s">
        <v>167</v>
      </c>
      <c r="G70" s="9">
        <v>0</v>
      </c>
      <c r="H70" s="9" t="s">
        <v>3</v>
      </c>
      <c r="I70" s="9" t="s">
        <v>3</v>
      </c>
      <c r="J70" s="9" t="s">
        <v>3</v>
      </c>
    </row>
    <row r="71" spans="1:10" ht="30" x14ac:dyDescent="0.25">
      <c r="A71" s="6" t="s">
        <v>52</v>
      </c>
      <c r="B71" s="18">
        <v>45580</v>
      </c>
      <c r="C71" s="9" t="s">
        <v>175</v>
      </c>
      <c r="D71" s="9">
        <v>3</v>
      </c>
      <c r="E71" s="9" t="s">
        <v>1</v>
      </c>
      <c r="F71" s="9" t="s">
        <v>176</v>
      </c>
      <c r="G71" s="9">
        <v>0</v>
      </c>
      <c r="H71" s="9" t="s">
        <v>3</v>
      </c>
      <c r="I71" s="9" t="s">
        <v>3</v>
      </c>
      <c r="J71" s="9" t="s">
        <v>3</v>
      </c>
    </row>
    <row r="72" spans="1:10" ht="25.5" x14ac:dyDescent="0.25">
      <c r="A72" s="6" t="s">
        <v>52</v>
      </c>
      <c r="B72" s="18">
        <v>45580</v>
      </c>
      <c r="C72" s="9" t="s">
        <v>177</v>
      </c>
      <c r="D72" s="9">
        <v>5</v>
      </c>
      <c r="E72" s="9" t="s">
        <v>1</v>
      </c>
      <c r="F72" s="9" t="s">
        <v>178</v>
      </c>
      <c r="G72" s="9">
        <v>0</v>
      </c>
      <c r="H72" s="9" t="s">
        <v>3</v>
      </c>
      <c r="I72" s="9" t="s">
        <v>3</v>
      </c>
      <c r="J72" s="9" t="s">
        <v>3</v>
      </c>
    </row>
    <row r="73" spans="1:10" ht="30" x14ac:dyDescent="0.25">
      <c r="A73" s="6" t="s">
        <v>52</v>
      </c>
      <c r="B73" s="18">
        <v>45580</v>
      </c>
      <c r="C73" s="9" t="s">
        <v>179</v>
      </c>
      <c r="D73" s="9">
        <v>2</v>
      </c>
      <c r="E73" s="21" t="s">
        <v>216</v>
      </c>
      <c r="F73" s="9" t="s">
        <v>180</v>
      </c>
      <c r="G73" s="9">
        <v>2</v>
      </c>
      <c r="H73" s="9" t="s">
        <v>181</v>
      </c>
      <c r="I73" s="9" t="s">
        <v>3</v>
      </c>
      <c r="J73" s="9" t="s">
        <v>118</v>
      </c>
    </row>
    <row r="74" spans="1:10" ht="30" x14ac:dyDescent="0.25">
      <c r="A74" s="6" t="s">
        <v>52</v>
      </c>
      <c r="B74" s="18">
        <v>45580</v>
      </c>
      <c r="C74" s="9" t="s">
        <v>182</v>
      </c>
      <c r="D74" s="9">
        <v>1</v>
      </c>
      <c r="E74" s="2" t="s">
        <v>115</v>
      </c>
      <c r="F74" s="9" t="s">
        <v>183</v>
      </c>
      <c r="G74" s="9">
        <v>1</v>
      </c>
      <c r="H74" s="9" t="s">
        <v>184</v>
      </c>
      <c r="I74" s="9" t="s">
        <v>3</v>
      </c>
      <c r="J74" s="9" t="s">
        <v>185</v>
      </c>
    </row>
    <row r="75" spans="1:10" ht="25.5" x14ac:dyDescent="0.25">
      <c r="A75" s="6" t="s">
        <v>52</v>
      </c>
      <c r="B75" s="18">
        <v>45580</v>
      </c>
      <c r="C75" s="9" t="s">
        <v>195</v>
      </c>
      <c r="D75" s="9">
        <v>2</v>
      </c>
      <c r="E75" s="9" t="s">
        <v>1</v>
      </c>
      <c r="F75" s="9" t="s">
        <v>196</v>
      </c>
      <c r="G75" s="9">
        <v>0</v>
      </c>
      <c r="H75" s="9" t="s">
        <v>3</v>
      </c>
      <c r="I75" s="9" t="s">
        <v>3</v>
      </c>
      <c r="J75" s="9" t="s">
        <v>3</v>
      </c>
    </row>
    <row r="76" spans="1:10" ht="30" x14ac:dyDescent="0.25">
      <c r="A76" s="6" t="s">
        <v>52</v>
      </c>
      <c r="B76" s="18">
        <v>45580</v>
      </c>
      <c r="C76" s="9" t="s">
        <v>197</v>
      </c>
      <c r="D76" s="9">
        <v>4</v>
      </c>
      <c r="E76" s="9" t="s">
        <v>1</v>
      </c>
      <c r="F76" s="9" t="s">
        <v>198</v>
      </c>
      <c r="G76" s="9">
        <v>0</v>
      </c>
      <c r="H76" s="9" t="s">
        <v>3</v>
      </c>
      <c r="I76" s="9" t="s">
        <v>3</v>
      </c>
      <c r="J76" s="9" t="s">
        <v>3</v>
      </c>
    </row>
    <row r="77" spans="1:10" ht="25.5" x14ac:dyDescent="0.25">
      <c r="A77" s="6" t="s">
        <v>52</v>
      </c>
      <c r="B77" s="18">
        <v>45580</v>
      </c>
      <c r="C77" s="9" t="s">
        <v>200</v>
      </c>
      <c r="D77" s="9">
        <v>2</v>
      </c>
      <c r="E77" s="9" t="s">
        <v>1</v>
      </c>
      <c r="F77" s="9" t="s">
        <v>201</v>
      </c>
      <c r="G77" s="9">
        <v>0</v>
      </c>
      <c r="H77" s="9" t="s">
        <v>3</v>
      </c>
      <c r="I77" s="9" t="s">
        <v>3</v>
      </c>
      <c r="J77" s="9" t="s">
        <v>3</v>
      </c>
    </row>
    <row r="78" spans="1:10" ht="30" x14ac:dyDescent="0.25">
      <c r="A78" s="6" t="s">
        <v>52</v>
      </c>
      <c r="B78" s="18">
        <v>45580</v>
      </c>
      <c r="C78" s="9" t="s">
        <v>202</v>
      </c>
      <c r="D78" s="9">
        <v>4</v>
      </c>
      <c r="E78" s="9" t="s">
        <v>1</v>
      </c>
      <c r="F78" s="9" t="s">
        <v>203</v>
      </c>
      <c r="G78" s="9">
        <v>0</v>
      </c>
      <c r="H78" s="9" t="s">
        <v>3</v>
      </c>
      <c r="I78" s="9" t="s">
        <v>3</v>
      </c>
      <c r="J78" s="9" t="s">
        <v>3</v>
      </c>
    </row>
    <row r="79" spans="1:10" ht="45" x14ac:dyDescent="0.25">
      <c r="A79" s="6" t="s">
        <v>52</v>
      </c>
      <c r="B79" s="18">
        <v>45580</v>
      </c>
      <c r="C79" s="9" t="s">
        <v>204</v>
      </c>
      <c r="D79" s="9">
        <v>4</v>
      </c>
      <c r="E79" s="9" t="s">
        <v>1</v>
      </c>
      <c r="F79" s="9" t="s">
        <v>206</v>
      </c>
      <c r="G79" s="9">
        <v>0</v>
      </c>
      <c r="H79" s="9" t="s">
        <v>3</v>
      </c>
      <c r="I79" s="9" t="s">
        <v>3</v>
      </c>
      <c r="J79" s="9" t="s">
        <v>208</v>
      </c>
    </row>
    <row r="80" spans="1:10" ht="25.5" x14ac:dyDescent="0.25">
      <c r="A80" s="6" t="s">
        <v>52</v>
      </c>
      <c r="B80" s="18">
        <v>45580</v>
      </c>
      <c r="C80" s="9" t="s">
        <v>205</v>
      </c>
      <c r="D80" s="9">
        <v>2</v>
      </c>
      <c r="E80" s="9" t="s">
        <v>1</v>
      </c>
      <c r="F80" s="9" t="s">
        <v>207</v>
      </c>
      <c r="G80" s="9">
        <v>0</v>
      </c>
      <c r="H80" s="9" t="s">
        <v>3</v>
      </c>
      <c r="I80" s="9" t="s">
        <v>3</v>
      </c>
      <c r="J80" s="9" t="s">
        <v>3</v>
      </c>
    </row>
    <row r="81" spans="1:10" ht="30" x14ac:dyDescent="0.25">
      <c r="A81" s="6" t="s">
        <v>52</v>
      </c>
      <c r="B81" s="18">
        <v>45580</v>
      </c>
      <c r="C81" s="9" t="s">
        <v>209</v>
      </c>
      <c r="D81" s="9">
        <v>3</v>
      </c>
      <c r="E81" s="9" t="s">
        <v>1</v>
      </c>
      <c r="F81" s="9" t="s">
        <v>210</v>
      </c>
      <c r="G81" s="9">
        <v>0</v>
      </c>
      <c r="H81" s="9" t="s">
        <v>3</v>
      </c>
      <c r="I81" s="9" t="s">
        <v>3</v>
      </c>
      <c r="J81" s="9" t="s">
        <v>3</v>
      </c>
    </row>
    <row r="82" spans="1:10" ht="25.5" x14ac:dyDescent="0.25">
      <c r="A82" s="6" t="s">
        <v>52</v>
      </c>
      <c r="B82" s="18">
        <v>45580</v>
      </c>
      <c r="C82" s="9" t="s">
        <v>211</v>
      </c>
      <c r="D82" s="9">
        <v>2</v>
      </c>
      <c r="E82" s="9" t="s">
        <v>1</v>
      </c>
      <c r="F82" s="9" t="s">
        <v>212</v>
      </c>
      <c r="G82" s="9">
        <v>0</v>
      </c>
      <c r="H82" s="9" t="s">
        <v>3</v>
      </c>
      <c r="I82" s="9" t="s">
        <v>3</v>
      </c>
      <c r="J82" s="9" t="s">
        <v>3</v>
      </c>
    </row>
    <row r="83" spans="1:10" ht="30" x14ac:dyDescent="0.25">
      <c r="A83" s="6" t="s">
        <v>52</v>
      </c>
      <c r="B83" s="18">
        <v>45580</v>
      </c>
      <c r="C83" s="9" t="s">
        <v>213</v>
      </c>
      <c r="D83" s="9">
        <v>12</v>
      </c>
      <c r="E83" s="9" t="s">
        <v>1</v>
      </c>
      <c r="F83" s="9" t="s">
        <v>214</v>
      </c>
      <c r="G83" s="9">
        <v>0</v>
      </c>
      <c r="H83" s="9" t="s">
        <v>3</v>
      </c>
      <c r="I83" s="9" t="s">
        <v>3</v>
      </c>
      <c r="J83" s="20" t="s">
        <v>3</v>
      </c>
    </row>
    <row r="84" spans="1:10" x14ac:dyDescent="0.25">
      <c r="A84" s="8"/>
      <c r="B84" s="18"/>
    </row>
    <row r="85" spans="1:10" ht="24" thickBot="1" x14ac:dyDescent="0.3">
      <c r="C85" s="15" t="s">
        <v>162</v>
      </c>
      <c r="D85" s="15">
        <f>SUM(D49:D83)+ SUM(D36)+ SUM(D2:D33)</f>
        <v>251</v>
      </c>
      <c r="F85" s="15" t="s">
        <v>187</v>
      </c>
      <c r="G85" s="15">
        <f>SUM(G49:G83)+SUM(G36)+SUM(G2:G33)</f>
        <v>53</v>
      </c>
    </row>
    <row r="86" spans="1:10" ht="16.5" thickTop="1" x14ac:dyDescent="0.25"/>
  </sheetData>
  <mergeCells count="2">
    <mergeCell ref="E34:H35"/>
    <mergeCell ref="A47:J4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80AA-52E4-432F-AEC1-5254549A031B}">
  <dimension ref="A1:E54"/>
  <sheetViews>
    <sheetView topLeftCell="A17" workbookViewId="0">
      <selection activeCell="A48" sqref="A48"/>
    </sheetView>
  </sheetViews>
  <sheetFormatPr baseColWidth="10" defaultRowHeight="15" x14ac:dyDescent="0.25"/>
  <cols>
    <col min="1" max="1" width="83.42578125" bestFit="1" customWidth="1"/>
  </cols>
  <sheetData>
    <row r="1" spans="1:5" x14ac:dyDescent="0.25">
      <c r="A1" s="22" t="s">
        <v>246</v>
      </c>
      <c r="D1" t="s">
        <v>244</v>
      </c>
      <c r="E1" s="22" t="s">
        <v>245</v>
      </c>
    </row>
    <row r="3" spans="1:5" x14ac:dyDescent="0.25">
      <c r="A3" s="22" t="s">
        <v>217</v>
      </c>
    </row>
    <row r="6" spans="1:5" x14ac:dyDescent="0.25">
      <c r="A6" s="22" t="s">
        <v>218</v>
      </c>
    </row>
    <row r="9" spans="1:5" x14ac:dyDescent="0.25">
      <c r="A9" s="22" t="s">
        <v>219</v>
      </c>
    </row>
    <row r="12" spans="1:5" x14ac:dyDescent="0.25">
      <c r="A12" s="22" t="s">
        <v>220</v>
      </c>
    </row>
    <row r="15" spans="1:5" x14ac:dyDescent="0.25">
      <c r="A15" s="22" t="s">
        <v>221</v>
      </c>
    </row>
    <row r="18" spans="1:1" x14ac:dyDescent="0.25">
      <c r="A18" s="22" t="s">
        <v>222</v>
      </c>
    </row>
    <row r="21" spans="1:1" x14ac:dyDescent="0.25">
      <c r="A21" s="22" t="s">
        <v>223</v>
      </c>
    </row>
    <row r="24" spans="1:1" x14ac:dyDescent="0.25">
      <c r="A24" s="22" t="s">
        <v>224</v>
      </c>
    </row>
    <row r="25" spans="1:1" x14ac:dyDescent="0.25">
      <c r="A25" s="22" t="s">
        <v>225</v>
      </c>
    </row>
    <row r="26" spans="1:1" x14ac:dyDescent="0.25">
      <c r="A26" s="22" t="s">
        <v>226</v>
      </c>
    </row>
    <row r="29" spans="1:1" x14ac:dyDescent="0.25">
      <c r="A29" s="22" t="s">
        <v>227</v>
      </c>
    </row>
    <row r="30" spans="1:1" x14ac:dyDescent="0.25">
      <c r="A30" s="22" t="s">
        <v>228</v>
      </c>
    </row>
    <row r="32" spans="1:1" x14ac:dyDescent="0.25">
      <c r="A32" s="22" t="s">
        <v>229</v>
      </c>
    </row>
    <row r="33" spans="1:1" x14ac:dyDescent="0.25">
      <c r="A33" t="s">
        <v>230</v>
      </c>
    </row>
    <row r="35" spans="1:1" x14ac:dyDescent="0.25">
      <c r="A35" s="22" t="s">
        <v>231</v>
      </c>
    </row>
    <row r="37" spans="1:1" x14ac:dyDescent="0.25">
      <c r="A37" s="22" t="s">
        <v>232</v>
      </c>
    </row>
    <row r="38" spans="1:1" x14ac:dyDescent="0.25">
      <c r="A38" s="22" t="s">
        <v>233</v>
      </c>
    </row>
    <row r="39" spans="1:1" x14ac:dyDescent="0.25">
      <c r="A39" s="22" t="s">
        <v>247</v>
      </c>
    </row>
    <row r="40" spans="1:1" x14ac:dyDescent="0.25">
      <c r="A40" s="22" t="s">
        <v>234</v>
      </c>
    </row>
    <row r="41" spans="1:1" x14ac:dyDescent="0.25">
      <c r="A41" s="22" t="s">
        <v>235</v>
      </c>
    </row>
    <row r="43" spans="1:1" x14ac:dyDescent="0.25">
      <c r="A43" s="22" t="s">
        <v>236</v>
      </c>
    </row>
    <row r="44" spans="1:1" x14ac:dyDescent="0.25">
      <c r="A44" s="22" t="s">
        <v>237</v>
      </c>
    </row>
    <row r="45" spans="1:1" x14ac:dyDescent="0.25">
      <c r="A45" s="22" t="s">
        <v>238</v>
      </c>
    </row>
    <row r="48" spans="1:1" x14ac:dyDescent="0.25">
      <c r="A48" t="s">
        <v>239</v>
      </c>
    </row>
    <row r="51" spans="1:1" x14ac:dyDescent="0.25">
      <c r="A51" t="s">
        <v>240</v>
      </c>
    </row>
    <row r="52" spans="1:1" x14ac:dyDescent="0.25">
      <c r="A52" t="s">
        <v>241</v>
      </c>
    </row>
    <row r="53" spans="1:1" x14ac:dyDescent="0.25">
      <c r="A53" t="s">
        <v>242</v>
      </c>
    </row>
    <row r="54" spans="1:1" x14ac:dyDescent="0.25">
      <c r="A54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8170-4900-40C6-9450-6141F4B395BE}">
  <dimension ref="A1:Q374"/>
  <sheetViews>
    <sheetView workbookViewId="0">
      <selection activeCell="L1" sqref="L1:Q17"/>
    </sheetView>
  </sheetViews>
  <sheetFormatPr baseColWidth="10" defaultRowHeight="15" x14ac:dyDescent="0.25"/>
  <sheetData>
    <row r="1" spans="1:17" ht="15" customHeight="1" x14ac:dyDescent="0.25">
      <c r="A1" s="29" t="s">
        <v>103</v>
      </c>
      <c r="B1" s="29"/>
      <c r="C1" s="29"/>
      <c r="D1" s="29"/>
      <c r="E1" s="29"/>
      <c r="F1" s="29"/>
      <c r="G1" s="29"/>
      <c r="H1" s="29"/>
      <c r="I1" s="29"/>
      <c r="J1" s="29"/>
      <c r="L1" s="27" t="s">
        <v>104</v>
      </c>
      <c r="M1" s="28"/>
      <c r="N1" s="28"/>
      <c r="O1" s="28"/>
      <c r="P1" s="28"/>
      <c r="Q1" s="28"/>
    </row>
    <row r="2" spans="1:17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L2" s="28"/>
      <c r="M2" s="28"/>
      <c r="N2" s="28"/>
      <c r="O2" s="28"/>
      <c r="P2" s="28"/>
      <c r="Q2" s="28"/>
    </row>
    <row r="3" spans="1:17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L3" s="28"/>
      <c r="M3" s="28"/>
      <c r="N3" s="28"/>
      <c r="O3" s="28"/>
      <c r="P3" s="28"/>
      <c r="Q3" s="28"/>
    </row>
    <row r="4" spans="1:17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L4" s="28"/>
      <c r="M4" s="28"/>
      <c r="N4" s="28"/>
      <c r="O4" s="28"/>
      <c r="P4" s="28"/>
      <c r="Q4" s="28"/>
    </row>
    <row r="5" spans="1:17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L5" s="28"/>
      <c r="M5" s="28"/>
      <c r="N5" s="28"/>
      <c r="O5" s="28"/>
      <c r="P5" s="28"/>
      <c r="Q5" s="28"/>
    </row>
    <row r="6" spans="1:17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L6" s="28"/>
      <c r="M6" s="28"/>
      <c r="N6" s="28"/>
      <c r="O6" s="28"/>
      <c r="P6" s="28"/>
      <c r="Q6" s="28"/>
    </row>
    <row r="7" spans="1:17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L7" s="28"/>
      <c r="M7" s="28"/>
      <c r="N7" s="28"/>
      <c r="O7" s="28"/>
      <c r="P7" s="28"/>
      <c r="Q7" s="28"/>
    </row>
    <row r="8" spans="1:17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L8" s="28"/>
      <c r="M8" s="28"/>
      <c r="N8" s="28"/>
      <c r="O8" s="28"/>
      <c r="P8" s="28"/>
      <c r="Q8" s="28"/>
    </row>
    <row r="9" spans="1:17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L9" s="28"/>
      <c r="M9" s="28"/>
      <c r="N9" s="28"/>
      <c r="O9" s="28"/>
      <c r="P9" s="28"/>
      <c r="Q9" s="28"/>
    </row>
    <row r="10" spans="1:17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L10" s="28"/>
      <c r="M10" s="28"/>
      <c r="N10" s="28"/>
      <c r="O10" s="28"/>
      <c r="P10" s="28"/>
      <c r="Q10" s="28"/>
    </row>
    <row r="11" spans="1:17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L11" s="28"/>
      <c r="M11" s="28"/>
      <c r="N11" s="28"/>
      <c r="O11" s="28"/>
      <c r="P11" s="28"/>
      <c r="Q11" s="28"/>
    </row>
    <row r="12" spans="1:17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L12" s="28"/>
      <c r="M12" s="28"/>
      <c r="N12" s="28"/>
      <c r="O12" s="28"/>
      <c r="P12" s="28"/>
      <c r="Q12" s="28"/>
    </row>
    <row r="13" spans="1:17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L13" s="28"/>
      <c r="M13" s="28"/>
      <c r="N13" s="28"/>
      <c r="O13" s="28"/>
      <c r="P13" s="28"/>
      <c r="Q13" s="28"/>
    </row>
    <row r="14" spans="1:17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L14" s="28"/>
      <c r="M14" s="28"/>
      <c r="N14" s="28"/>
      <c r="O14" s="28"/>
      <c r="P14" s="28"/>
      <c r="Q14" s="28"/>
    </row>
    <row r="15" spans="1:17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L15" s="28"/>
      <c r="M15" s="28"/>
      <c r="N15" s="28"/>
      <c r="O15" s="28"/>
      <c r="P15" s="28"/>
      <c r="Q15" s="28"/>
    </row>
    <row r="16" spans="1:17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L16" s="28"/>
      <c r="M16" s="28"/>
      <c r="N16" s="28"/>
      <c r="O16" s="28"/>
      <c r="P16" s="28"/>
      <c r="Q16" s="28"/>
    </row>
    <row r="17" spans="1:17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L17" s="28"/>
      <c r="M17" s="28"/>
      <c r="N17" s="28"/>
      <c r="O17" s="28"/>
      <c r="P17" s="28"/>
      <c r="Q17" s="28"/>
    </row>
    <row r="18" spans="1:17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</row>
    <row r="19" spans="1:17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</row>
    <row r="20" spans="1:17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spans="1:17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</row>
    <row r="22" spans="1:17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</row>
    <row r="23" spans="1:17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</row>
    <row r="24" spans="1:1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</row>
    <row r="25" spans="1:17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</row>
    <row r="26" spans="1:17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7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spans="1:17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7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</row>
    <row r="30" spans="1:17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spans="1:17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spans="1:17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10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</row>
    <row r="34" spans="1:10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</row>
    <row r="35" spans="1:10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spans="1:10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</row>
    <row r="38" spans="1:10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</sheetData>
  <mergeCells count="2">
    <mergeCell ref="L1:Q17"/>
    <mergeCell ref="A1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QA DEV</vt:lpstr>
      <vt:lpstr>QA local</vt:lpstr>
      <vt:lpstr>verificaciondeNames</vt:lpstr>
      <vt:lpstr>pruebas de ejecucion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2024-10-14T16:37:53Z</dcterms:created>
  <dcterms:modified xsi:type="dcterms:W3CDTF">2024-10-17T22:53:50Z</dcterms:modified>
</cp:coreProperties>
</file>