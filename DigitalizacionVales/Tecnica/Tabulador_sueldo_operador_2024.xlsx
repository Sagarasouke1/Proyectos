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"/>
    </mc:Choice>
  </mc:AlternateContent>
  <xr:revisionPtr revIDLastSave="0" documentId="13_ncr:1_{8C85473B-F431-4825-BAD9-A46E8EC9C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7" i="1" l="1"/>
  <c r="G384" i="1"/>
  <c r="G386" i="1"/>
  <c r="G132" i="1"/>
  <c r="G131" i="1"/>
  <c r="G106" i="1"/>
  <c r="G105" i="1"/>
  <c r="H105" i="1" s="1"/>
  <c r="F147" i="1"/>
  <c r="G147" i="1" s="1"/>
  <c r="H147" i="1" s="1"/>
  <c r="F134" i="1"/>
  <c r="G134" i="1" s="1"/>
  <c r="H134" i="1" s="1"/>
  <c r="C17" i="1"/>
  <c r="D17" i="1" s="1"/>
  <c r="E17" i="1" s="1"/>
  <c r="F17" i="1" s="1"/>
  <c r="G17" i="1" s="1"/>
  <c r="E133" i="1"/>
  <c r="F133" i="1" s="1"/>
  <c r="G133" i="1" s="1"/>
  <c r="E130" i="1"/>
  <c r="F130" i="1" s="1"/>
  <c r="G130" i="1" s="1"/>
  <c r="H130" i="1" s="1"/>
  <c r="E129" i="1"/>
  <c r="F129" i="1" s="1"/>
  <c r="G129" i="1" s="1"/>
  <c r="H129" i="1" s="1"/>
  <c r="E126" i="1"/>
  <c r="F126" i="1" s="1"/>
  <c r="G126" i="1" s="1"/>
  <c r="H126" i="1" s="1"/>
  <c r="E127" i="1"/>
  <c r="F127" i="1" s="1"/>
  <c r="G127" i="1" s="1"/>
  <c r="H127" i="1" s="1"/>
  <c r="E125" i="1"/>
  <c r="F125" i="1" s="1"/>
  <c r="G125" i="1" s="1"/>
  <c r="H125" i="1" s="1"/>
  <c r="E106" i="1"/>
  <c r="E105" i="1"/>
  <c r="E342" i="1"/>
  <c r="F342" i="1" s="1"/>
  <c r="G342" i="1" s="1"/>
  <c r="E392" i="1"/>
  <c r="F392" i="1" s="1"/>
  <c r="G392" i="1" s="1"/>
  <c r="E163" i="1"/>
  <c r="F163" i="1" s="1"/>
  <c r="G163" i="1" s="1"/>
  <c r="E164" i="1"/>
  <c r="F164" i="1" s="1"/>
  <c r="G164" i="1" s="1"/>
  <c r="E165" i="1"/>
  <c r="F165" i="1" s="1"/>
  <c r="G165" i="1" s="1"/>
  <c r="E166" i="1"/>
  <c r="F166" i="1" s="1"/>
  <c r="G166" i="1" s="1"/>
  <c r="E167" i="1"/>
  <c r="F167" i="1" s="1"/>
  <c r="G167" i="1" s="1"/>
  <c r="E162" i="1"/>
  <c r="F162" i="1" s="1"/>
  <c r="G162" i="1" s="1"/>
  <c r="E203" i="1"/>
  <c r="F203" i="1" s="1"/>
  <c r="G203" i="1" s="1"/>
  <c r="E201" i="1"/>
  <c r="F201" i="1" s="1"/>
  <c r="G201" i="1" s="1"/>
  <c r="E189" i="1"/>
  <c r="F189" i="1" s="1"/>
  <c r="G189" i="1" s="1"/>
  <c r="E190" i="1"/>
  <c r="F190" i="1" s="1"/>
  <c r="G190" i="1" s="1"/>
  <c r="E191" i="1"/>
  <c r="F191" i="1" s="1"/>
  <c r="G191" i="1" s="1"/>
  <c r="E192" i="1"/>
  <c r="F192" i="1" s="1"/>
  <c r="G192" i="1" s="1"/>
  <c r="E193" i="1"/>
  <c r="F193" i="1" s="1"/>
  <c r="G193" i="1" s="1"/>
  <c r="E194" i="1"/>
  <c r="F194" i="1" s="1"/>
  <c r="G194" i="1" s="1"/>
  <c r="E195" i="1"/>
  <c r="F195" i="1" s="1"/>
  <c r="G195" i="1" s="1"/>
  <c r="E196" i="1"/>
  <c r="F196" i="1" s="1"/>
  <c r="G196" i="1" s="1"/>
  <c r="E197" i="1"/>
  <c r="F197" i="1" s="1"/>
  <c r="G197" i="1" s="1"/>
  <c r="E198" i="1"/>
  <c r="F198" i="1" s="1"/>
  <c r="G198" i="1" s="1"/>
  <c r="E199" i="1"/>
  <c r="F199" i="1" s="1"/>
  <c r="G199" i="1" s="1"/>
  <c r="E200" i="1"/>
  <c r="F200" i="1" s="1"/>
  <c r="G200" i="1" s="1"/>
  <c r="E188" i="1"/>
  <c r="F188" i="1" s="1"/>
  <c r="G188" i="1" s="1"/>
  <c r="E385" i="1"/>
  <c r="F385" i="1" s="1"/>
  <c r="G385" i="1" s="1"/>
  <c r="E274" i="1"/>
  <c r="F274" i="1" s="1"/>
  <c r="G274" i="1" s="1"/>
  <c r="E275" i="1"/>
  <c r="F275" i="1" s="1"/>
  <c r="G275" i="1" s="1"/>
  <c r="E276" i="1"/>
  <c r="F276" i="1" s="1"/>
  <c r="G276" i="1" s="1"/>
  <c r="E277" i="1"/>
  <c r="F277" i="1" s="1"/>
  <c r="G277" i="1" s="1"/>
  <c r="E278" i="1"/>
  <c r="F278" i="1" s="1"/>
  <c r="G278" i="1" s="1"/>
  <c r="E279" i="1"/>
  <c r="F279" i="1" s="1"/>
  <c r="G279" i="1" s="1"/>
  <c r="E280" i="1"/>
  <c r="F280" i="1" s="1"/>
  <c r="G280" i="1" s="1"/>
  <c r="E281" i="1"/>
  <c r="F281" i="1" s="1"/>
  <c r="G281" i="1" s="1"/>
  <c r="E282" i="1"/>
  <c r="F282" i="1" s="1"/>
  <c r="G282" i="1" s="1"/>
  <c r="E283" i="1"/>
  <c r="F283" i="1" s="1"/>
  <c r="G283" i="1" s="1"/>
  <c r="E284" i="1"/>
  <c r="F284" i="1" s="1"/>
  <c r="G284" i="1" s="1"/>
  <c r="E285" i="1"/>
  <c r="F285" i="1" s="1"/>
  <c r="G285" i="1" s="1"/>
  <c r="E286" i="1"/>
  <c r="F286" i="1" s="1"/>
  <c r="G286" i="1" s="1"/>
  <c r="E287" i="1"/>
  <c r="F287" i="1" s="1"/>
  <c r="G287" i="1" s="1"/>
  <c r="E288" i="1"/>
  <c r="F288" i="1" s="1"/>
  <c r="G288" i="1" s="1"/>
  <c r="E289" i="1"/>
  <c r="F289" i="1" s="1"/>
  <c r="G289" i="1" s="1"/>
  <c r="E290" i="1"/>
  <c r="F290" i="1" s="1"/>
  <c r="G290" i="1" s="1"/>
  <c r="E291" i="1"/>
  <c r="F291" i="1" s="1"/>
  <c r="G291" i="1" s="1"/>
  <c r="E292" i="1"/>
  <c r="F292" i="1" s="1"/>
  <c r="G292" i="1" s="1"/>
  <c r="E293" i="1"/>
  <c r="F293" i="1" s="1"/>
  <c r="G293" i="1" s="1"/>
  <c r="E294" i="1"/>
  <c r="F294" i="1" s="1"/>
  <c r="G294" i="1" s="1"/>
  <c r="E295" i="1"/>
  <c r="F295" i="1" s="1"/>
  <c r="G295" i="1" s="1"/>
  <c r="E296" i="1"/>
  <c r="F296" i="1" s="1"/>
  <c r="G296" i="1" s="1"/>
  <c r="E297" i="1"/>
  <c r="F297" i="1" s="1"/>
  <c r="G297" i="1" s="1"/>
  <c r="E298" i="1"/>
  <c r="F298" i="1" s="1"/>
  <c r="G298" i="1" s="1"/>
  <c r="E299" i="1"/>
  <c r="F299" i="1" s="1"/>
  <c r="G299" i="1" s="1"/>
  <c r="E300" i="1"/>
  <c r="F300" i="1" s="1"/>
  <c r="G300" i="1" s="1"/>
  <c r="E301" i="1"/>
  <c r="F301" i="1" s="1"/>
  <c r="G301" i="1" s="1"/>
  <c r="E302" i="1"/>
  <c r="F302" i="1" s="1"/>
  <c r="G302" i="1" s="1"/>
  <c r="E303" i="1"/>
  <c r="F303" i="1" s="1"/>
  <c r="G303" i="1" s="1"/>
  <c r="E304" i="1"/>
  <c r="F304" i="1" s="1"/>
  <c r="G304" i="1" s="1"/>
  <c r="E305" i="1"/>
  <c r="F305" i="1" s="1"/>
  <c r="G305" i="1" s="1"/>
  <c r="E306" i="1"/>
  <c r="F306" i="1" s="1"/>
  <c r="G306" i="1" s="1"/>
  <c r="E307" i="1"/>
  <c r="F307" i="1" s="1"/>
  <c r="G307" i="1" s="1"/>
  <c r="E308" i="1"/>
  <c r="F308" i="1" s="1"/>
  <c r="G308" i="1" s="1"/>
  <c r="E324" i="1"/>
  <c r="F324" i="1" s="1"/>
  <c r="G324" i="1" s="1"/>
  <c r="E325" i="1"/>
  <c r="F325" i="1" s="1"/>
  <c r="G325" i="1" s="1"/>
  <c r="E326" i="1"/>
  <c r="F326" i="1" s="1"/>
  <c r="G326" i="1" s="1"/>
  <c r="E327" i="1"/>
  <c r="F327" i="1" s="1"/>
  <c r="G327" i="1" s="1"/>
  <c r="E328" i="1"/>
  <c r="F328" i="1" s="1"/>
  <c r="G328" i="1" s="1"/>
  <c r="E329" i="1"/>
  <c r="F329" i="1" s="1"/>
  <c r="G329" i="1" s="1"/>
  <c r="E330" i="1"/>
  <c r="F330" i="1" s="1"/>
  <c r="G330" i="1" s="1"/>
  <c r="E331" i="1"/>
  <c r="F331" i="1" s="1"/>
  <c r="G331" i="1" s="1"/>
  <c r="E332" i="1"/>
  <c r="F332" i="1" s="1"/>
  <c r="G332" i="1" s="1"/>
  <c r="E333" i="1"/>
  <c r="F333" i="1" s="1"/>
  <c r="G333" i="1" s="1"/>
  <c r="E334" i="1"/>
  <c r="F334" i="1" s="1"/>
  <c r="G334" i="1" s="1"/>
  <c r="E335" i="1"/>
  <c r="F335" i="1" s="1"/>
  <c r="G335" i="1" s="1"/>
  <c r="E336" i="1"/>
  <c r="F336" i="1" s="1"/>
  <c r="G336" i="1" s="1"/>
  <c r="E337" i="1"/>
  <c r="F337" i="1" s="1"/>
  <c r="G337" i="1" s="1"/>
  <c r="E338" i="1"/>
  <c r="F338" i="1" s="1"/>
  <c r="G338" i="1" s="1"/>
  <c r="E339" i="1"/>
  <c r="F339" i="1" s="1"/>
  <c r="G339" i="1" s="1"/>
  <c r="E340" i="1"/>
  <c r="F340" i="1" s="1"/>
  <c r="G340" i="1" s="1"/>
  <c r="E341" i="1"/>
  <c r="F341" i="1" s="1"/>
  <c r="G341" i="1" s="1"/>
  <c r="E343" i="1"/>
  <c r="F343" i="1" s="1"/>
  <c r="G343" i="1" s="1"/>
  <c r="E344" i="1"/>
  <c r="F344" i="1" s="1"/>
  <c r="G344" i="1" s="1"/>
  <c r="E345" i="1"/>
  <c r="F345" i="1" s="1"/>
  <c r="G345" i="1" s="1"/>
  <c r="E346" i="1"/>
  <c r="F346" i="1" s="1"/>
  <c r="G346" i="1" s="1"/>
  <c r="E347" i="1"/>
  <c r="F347" i="1" s="1"/>
  <c r="G347" i="1" s="1"/>
  <c r="E348" i="1"/>
  <c r="F348" i="1" s="1"/>
  <c r="G348" i="1" s="1"/>
  <c r="E349" i="1"/>
  <c r="F349" i="1" s="1"/>
  <c r="G349" i="1" s="1"/>
  <c r="E350" i="1"/>
  <c r="F350" i="1" s="1"/>
  <c r="G350" i="1" s="1"/>
  <c r="E351" i="1"/>
  <c r="F351" i="1" s="1"/>
  <c r="G351" i="1" s="1"/>
  <c r="E352" i="1"/>
  <c r="F352" i="1" s="1"/>
  <c r="G352" i="1" s="1"/>
  <c r="E353" i="1"/>
  <c r="F353" i="1" s="1"/>
  <c r="G353" i="1" s="1"/>
  <c r="E354" i="1"/>
  <c r="F354" i="1" s="1"/>
  <c r="G354" i="1" s="1"/>
  <c r="E355" i="1"/>
  <c r="F355" i="1" s="1"/>
  <c r="G355" i="1" s="1"/>
  <c r="E356" i="1"/>
  <c r="F356" i="1" s="1"/>
  <c r="G356" i="1" s="1"/>
  <c r="E357" i="1"/>
  <c r="F357" i="1" s="1"/>
  <c r="G357" i="1" s="1"/>
  <c r="E358" i="1"/>
  <c r="F358" i="1" s="1"/>
  <c r="G358" i="1" s="1"/>
  <c r="E359" i="1"/>
  <c r="F359" i="1" s="1"/>
  <c r="G359" i="1" s="1"/>
  <c r="E360" i="1"/>
  <c r="F360" i="1" s="1"/>
  <c r="G360" i="1" s="1"/>
  <c r="E361" i="1"/>
  <c r="F361" i="1" s="1"/>
  <c r="G361" i="1" s="1"/>
  <c r="E362" i="1"/>
  <c r="F362" i="1" s="1"/>
  <c r="G362" i="1" s="1"/>
  <c r="E363" i="1"/>
  <c r="F363" i="1" s="1"/>
  <c r="G363" i="1" s="1"/>
  <c r="E376" i="1"/>
  <c r="F376" i="1" s="1"/>
  <c r="G376" i="1" s="1"/>
  <c r="E377" i="1"/>
  <c r="F377" i="1" s="1"/>
  <c r="G377" i="1" s="1"/>
  <c r="E378" i="1"/>
  <c r="F378" i="1" s="1"/>
  <c r="G378" i="1" s="1"/>
  <c r="E379" i="1"/>
  <c r="F379" i="1" s="1"/>
  <c r="G379" i="1" s="1"/>
  <c r="E380" i="1"/>
  <c r="F380" i="1" s="1"/>
  <c r="G380" i="1" s="1"/>
  <c r="E381" i="1"/>
  <c r="F381" i="1" s="1"/>
  <c r="G381" i="1" s="1"/>
  <c r="E382" i="1"/>
  <c r="F382" i="1" s="1"/>
  <c r="G382" i="1" s="1"/>
  <c r="E383" i="1"/>
  <c r="F383" i="1" s="1"/>
  <c r="G383" i="1" s="1"/>
  <c r="E273" i="1"/>
  <c r="F273" i="1" s="1"/>
  <c r="G273" i="1" s="1"/>
  <c r="E245" i="1"/>
  <c r="F245" i="1" s="1"/>
  <c r="G245" i="1" s="1"/>
  <c r="E244" i="1"/>
  <c r="F244" i="1" s="1"/>
  <c r="G244" i="1" s="1"/>
  <c r="E220" i="1"/>
  <c r="F220" i="1" s="1"/>
  <c r="G220" i="1" s="1"/>
  <c r="E221" i="1"/>
  <c r="F221" i="1" s="1"/>
  <c r="G221" i="1" s="1"/>
  <c r="E222" i="1"/>
  <c r="F222" i="1" s="1"/>
  <c r="G222" i="1" s="1"/>
  <c r="E223" i="1"/>
  <c r="F223" i="1" s="1"/>
  <c r="G223" i="1" s="1"/>
  <c r="E224" i="1"/>
  <c r="F224" i="1" s="1"/>
  <c r="G224" i="1" s="1"/>
  <c r="E225" i="1"/>
  <c r="F225" i="1" s="1"/>
  <c r="G225" i="1" s="1"/>
  <c r="E226" i="1"/>
  <c r="F226" i="1" s="1"/>
  <c r="G226" i="1" s="1"/>
  <c r="E227" i="1"/>
  <c r="F227" i="1" s="1"/>
  <c r="G227" i="1" s="1"/>
  <c r="E228" i="1"/>
  <c r="F228" i="1" s="1"/>
  <c r="G228" i="1" s="1"/>
  <c r="E229" i="1"/>
  <c r="F229" i="1" s="1"/>
  <c r="G229" i="1" s="1"/>
  <c r="E230" i="1"/>
  <c r="F230" i="1" s="1"/>
  <c r="G230" i="1" s="1"/>
  <c r="E231" i="1"/>
  <c r="F231" i="1" s="1"/>
  <c r="G231" i="1" s="1"/>
  <c r="E232" i="1"/>
  <c r="F232" i="1" s="1"/>
  <c r="G232" i="1" s="1"/>
  <c r="E233" i="1"/>
  <c r="F233" i="1" s="1"/>
  <c r="G233" i="1" s="1"/>
  <c r="E234" i="1"/>
  <c r="F234" i="1" s="1"/>
  <c r="G234" i="1" s="1"/>
  <c r="E235" i="1"/>
  <c r="F235" i="1" s="1"/>
  <c r="G235" i="1" s="1"/>
  <c r="E236" i="1"/>
  <c r="F236" i="1" s="1"/>
  <c r="G236" i="1" s="1"/>
  <c r="E237" i="1"/>
  <c r="F237" i="1" s="1"/>
  <c r="G237" i="1" s="1"/>
  <c r="E238" i="1"/>
  <c r="F238" i="1" s="1"/>
  <c r="G238" i="1" s="1"/>
  <c r="E239" i="1"/>
  <c r="F239" i="1" s="1"/>
  <c r="G239" i="1" s="1"/>
  <c r="E240" i="1"/>
  <c r="F240" i="1" s="1"/>
  <c r="G240" i="1" s="1"/>
  <c r="E241" i="1"/>
  <c r="F241" i="1" s="1"/>
  <c r="G241" i="1" s="1"/>
  <c r="E242" i="1"/>
  <c r="F242" i="1" s="1"/>
  <c r="G242" i="1" s="1"/>
  <c r="E219" i="1"/>
  <c r="F219" i="1" s="1"/>
  <c r="G219" i="1" s="1"/>
  <c r="E185" i="1"/>
  <c r="F185" i="1" s="1"/>
  <c r="G185" i="1" s="1"/>
  <c r="E184" i="1"/>
  <c r="F184" i="1" s="1"/>
  <c r="G184" i="1" s="1"/>
  <c r="E179" i="1"/>
  <c r="F179" i="1" s="1"/>
  <c r="G179" i="1" s="1"/>
  <c r="E180" i="1"/>
  <c r="F180" i="1" s="1"/>
  <c r="G180" i="1" s="1"/>
  <c r="E181" i="1"/>
  <c r="F181" i="1" s="1"/>
  <c r="G181" i="1" s="1"/>
  <c r="E182" i="1"/>
  <c r="F182" i="1" s="1"/>
  <c r="G182" i="1" s="1"/>
  <c r="E178" i="1"/>
  <c r="F178" i="1" s="1"/>
  <c r="G178" i="1" s="1"/>
  <c r="E171" i="1"/>
  <c r="F171" i="1" s="1"/>
  <c r="G171" i="1" s="1"/>
  <c r="E172" i="1"/>
  <c r="F172" i="1" s="1"/>
  <c r="G172" i="1" s="1"/>
  <c r="E173" i="1"/>
  <c r="F173" i="1" s="1"/>
  <c r="G173" i="1" s="1"/>
  <c r="E174" i="1"/>
  <c r="F174" i="1" s="1"/>
  <c r="G174" i="1" s="1"/>
  <c r="E175" i="1"/>
  <c r="F175" i="1" s="1"/>
  <c r="G175" i="1" s="1"/>
  <c r="E176" i="1"/>
  <c r="F176" i="1" s="1"/>
  <c r="G176" i="1" s="1"/>
  <c r="E177" i="1"/>
  <c r="F177" i="1" s="1"/>
  <c r="G177" i="1" s="1"/>
  <c r="E170" i="1"/>
  <c r="F170" i="1" s="1"/>
  <c r="G170" i="1" s="1"/>
  <c r="E120" i="1" l="1"/>
  <c r="F120" i="1" s="1"/>
  <c r="G120" i="1" s="1"/>
  <c r="H120" i="1" s="1"/>
  <c r="E119" i="1"/>
  <c r="F119" i="1" s="1"/>
  <c r="G119" i="1" s="1"/>
  <c r="H119" i="1" s="1"/>
  <c r="E118" i="1"/>
  <c r="F118" i="1" s="1"/>
  <c r="G118" i="1" s="1"/>
  <c r="H118" i="1" s="1"/>
  <c r="E117" i="1"/>
  <c r="F117" i="1" s="1"/>
  <c r="G117" i="1" s="1"/>
  <c r="H117" i="1" s="1"/>
  <c r="E116" i="1"/>
  <c r="F116" i="1" s="1"/>
  <c r="G116" i="1" s="1"/>
  <c r="H116" i="1" s="1"/>
  <c r="E115" i="1"/>
  <c r="F115" i="1" s="1"/>
  <c r="G115" i="1" s="1"/>
  <c r="H115" i="1" s="1"/>
  <c r="E114" i="1"/>
  <c r="F114" i="1" s="1"/>
  <c r="G114" i="1" s="1"/>
  <c r="H114" i="1" s="1"/>
  <c r="E113" i="1"/>
  <c r="F113" i="1" s="1"/>
  <c r="G113" i="1" s="1"/>
  <c r="H113" i="1" s="1"/>
  <c r="E93" i="1"/>
  <c r="F93" i="1" s="1"/>
  <c r="G93" i="1" s="1"/>
  <c r="H93" i="1" s="1"/>
  <c r="E96" i="1"/>
  <c r="F96" i="1" s="1"/>
  <c r="G96" i="1" s="1"/>
  <c r="H96" i="1" s="1"/>
  <c r="E100" i="1"/>
  <c r="F100" i="1" s="1"/>
  <c r="G100" i="1" s="1"/>
  <c r="H100" i="1" s="1"/>
  <c r="E101" i="1"/>
  <c r="F101" i="1" s="1"/>
  <c r="G101" i="1" s="1"/>
  <c r="H101" i="1" s="1"/>
  <c r="E59" i="1"/>
  <c r="F59" i="1" s="1"/>
  <c r="G59" i="1" s="1"/>
  <c r="H59" i="1" s="1"/>
  <c r="E40" i="1"/>
  <c r="F40" i="1" s="1"/>
  <c r="G40" i="1" s="1"/>
  <c r="H40" i="1" s="1"/>
  <c r="E41" i="1"/>
  <c r="F41" i="1" s="1"/>
  <c r="G41" i="1" s="1"/>
  <c r="H41" i="1" s="1"/>
  <c r="D35" i="1"/>
  <c r="E35" i="1" s="1"/>
  <c r="F35" i="1" s="1"/>
  <c r="G35" i="1" s="1"/>
  <c r="H35" i="1" s="1"/>
  <c r="D94" i="1" l="1"/>
  <c r="E94" i="1" s="1"/>
  <c r="F94" i="1" s="1"/>
  <c r="G94" i="1" s="1"/>
  <c r="H94" i="1" s="1"/>
  <c r="E7" i="3"/>
  <c r="C150" i="1" l="1"/>
  <c r="D150" i="1" s="1"/>
  <c r="E150" i="1" s="1"/>
  <c r="F150" i="1" s="1"/>
  <c r="G150" i="1" s="1"/>
  <c r="H150" i="1" s="1"/>
  <c r="C149" i="1"/>
  <c r="D149" i="1" s="1"/>
  <c r="E149" i="1" s="1"/>
  <c r="F149" i="1" s="1"/>
  <c r="G149" i="1" s="1"/>
  <c r="H149" i="1" s="1"/>
  <c r="C148" i="1"/>
  <c r="D148" i="1" s="1"/>
  <c r="E148" i="1" s="1"/>
  <c r="F148" i="1" s="1"/>
  <c r="G148" i="1" s="1"/>
  <c r="H148" i="1" s="1"/>
  <c r="C146" i="1"/>
  <c r="D146" i="1" s="1"/>
  <c r="E146" i="1" s="1"/>
  <c r="F146" i="1" s="1"/>
  <c r="G146" i="1" s="1"/>
  <c r="H146" i="1" s="1"/>
  <c r="C145" i="1"/>
  <c r="D145" i="1" s="1"/>
  <c r="E145" i="1" s="1"/>
  <c r="F145" i="1" s="1"/>
  <c r="G145" i="1" s="1"/>
  <c r="H145" i="1" s="1"/>
  <c r="C144" i="1"/>
  <c r="D144" i="1" s="1"/>
  <c r="E144" i="1" s="1"/>
  <c r="F144" i="1" s="1"/>
  <c r="G144" i="1" s="1"/>
  <c r="H144" i="1" s="1"/>
  <c r="C143" i="1"/>
  <c r="D143" i="1" s="1"/>
  <c r="E143" i="1" s="1"/>
  <c r="F143" i="1" s="1"/>
  <c r="G143" i="1" s="1"/>
  <c r="H143" i="1" s="1"/>
  <c r="C142" i="1"/>
  <c r="D142" i="1" s="1"/>
  <c r="E142" i="1" s="1"/>
  <c r="F142" i="1" s="1"/>
  <c r="G142" i="1" s="1"/>
  <c r="H142" i="1" s="1"/>
  <c r="C141" i="1"/>
  <c r="D141" i="1" s="1"/>
  <c r="E141" i="1" s="1"/>
  <c r="F141" i="1" s="1"/>
  <c r="G141" i="1" s="1"/>
  <c r="H141" i="1" s="1"/>
  <c r="C104" i="1"/>
  <c r="D104" i="1" s="1"/>
  <c r="E104" i="1" s="1"/>
  <c r="F104" i="1" s="1"/>
  <c r="G104" i="1" s="1"/>
  <c r="H104" i="1" s="1"/>
  <c r="C103" i="1"/>
  <c r="D103" i="1" s="1"/>
  <c r="E103" i="1" s="1"/>
  <c r="F103" i="1" s="1"/>
  <c r="G103" i="1" s="1"/>
  <c r="H103" i="1" s="1"/>
  <c r="D102" i="1"/>
  <c r="E102" i="1" s="1"/>
  <c r="F102" i="1" s="1"/>
  <c r="G102" i="1" s="1"/>
  <c r="H102" i="1" s="1"/>
  <c r="C99" i="1"/>
  <c r="D99" i="1" s="1"/>
  <c r="E99" i="1" s="1"/>
  <c r="F99" i="1" s="1"/>
  <c r="G99" i="1" s="1"/>
  <c r="H99" i="1" s="1"/>
  <c r="C98" i="1"/>
  <c r="D98" i="1" s="1"/>
  <c r="E98" i="1" s="1"/>
  <c r="F98" i="1" s="1"/>
  <c r="G98" i="1" s="1"/>
  <c r="H98" i="1" s="1"/>
  <c r="C97" i="1"/>
  <c r="D97" i="1" s="1"/>
  <c r="E97" i="1" s="1"/>
  <c r="F97" i="1" s="1"/>
  <c r="G97" i="1" s="1"/>
  <c r="H97" i="1" s="1"/>
  <c r="C96" i="1"/>
  <c r="C95" i="1"/>
  <c r="D95" i="1" s="1"/>
  <c r="E95" i="1" s="1"/>
  <c r="F95" i="1" s="1"/>
  <c r="G95" i="1" s="1"/>
  <c r="H95" i="1" s="1"/>
  <c r="C92" i="1"/>
  <c r="D92" i="1" s="1"/>
  <c r="E92" i="1" s="1"/>
  <c r="F92" i="1" s="1"/>
  <c r="G92" i="1" s="1"/>
  <c r="H92" i="1" s="1"/>
  <c r="C91" i="1"/>
  <c r="D91" i="1" s="1"/>
  <c r="E91" i="1" s="1"/>
  <c r="F91" i="1" s="1"/>
  <c r="G91" i="1" s="1"/>
  <c r="H91" i="1" s="1"/>
  <c r="C90" i="1"/>
  <c r="D90" i="1" s="1"/>
  <c r="E90" i="1" s="1"/>
  <c r="F90" i="1" s="1"/>
  <c r="G90" i="1" s="1"/>
  <c r="H90" i="1" s="1"/>
  <c r="C89" i="1"/>
  <c r="D89" i="1" s="1"/>
  <c r="E89" i="1" s="1"/>
  <c r="F89" i="1" s="1"/>
  <c r="G89" i="1" s="1"/>
  <c r="H89" i="1" s="1"/>
  <c r="C88" i="1"/>
  <c r="D88" i="1" s="1"/>
  <c r="E88" i="1" s="1"/>
  <c r="F88" i="1" s="1"/>
  <c r="G88" i="1" s="1"/>
  <c r="H88" i="1" s="1"/>
  <c r="C87" i="1"/>
  <c r="D87" i="1" s="1"/>
  <c r="E87" i="1" s="1"/>
  <c r="F87" i="1" s="1"/>
  <c r="G87" i="1" s="1"/>
  <c r="H87" i="1" s="1"/>
  <c r="C86" i="1"/>
  <c r="D86" i="1" s="1"/>
  <c r="E86" i="1" s="1"/>
  <c r="F86" i="1" s="1"/>
  <c r="G86" i="1" s="1"/>
  <c r="H86" i="1" s="1"/>
  <c r="C80" i="1"/>
  <c r="D80" i="1" s="1"/>
  <c r="E80" i="1" s="1"/>
  <c r="F80" i="1" s="1"/>
  <c r="G80" i="1" s="1"/>
  <c r="H80" i="1" s="1"/>
  <c r="C79" i="1"/>
  <c r="D79" i="1" s="1"/>
  <c r="E79" i="1" s="1"/>
  <c r="F79" i="1" s="1"/>
  <c r="G79" i="1" s="1"/>
  <c r="C77" i="1"/>
  <c r="D77" i="1" s="1"/>
  <c r="E77" i="1" s="1"/>
  <c r="F77" i="1" s="1"/>
  <c r="G77" i="1" s="1"/>
  <c r="H77" i="1" s="1"/>
  <c r="C76" i="1"/>
  <c r="D76" i="1" s="1"/>
  <c r="E76" i="1" s="1"/>
  <c r="F76" i="1" s="1"/>
  <c r="G76" i="1" s="1"/>
  <c r="C74" i="1"/>
  <c r="D74" i="1" s="1"/>
  <c r="E74" i="1" s="1"/>
  <c r="F74" i="1" s="1"/>
  <c r="G74" i="1" s="1"/>
  <c r="H74" i="1" s="1"/>
  <c r="C73" i="1"/>
  <c r="D73" i="1" s="1"/>
  <c r="E73" i="1" s="1"/>
  <c r="F73" i="1" s="1"/>
  <c r="G73" i="1" s="1"/>
  <c r="C71" i="1"/>
  <c r="D71" i="1" s="1"/>
  <c r="E71" i="1" s="1"/>
  <c r="F71" i="1" s="1"/>
  <c r="G71" i="1" s="1"/>
  <c r="H71" i="1" s="1"/>
  <c r="C70" i="1"/>
  <c r="D70" i="1" s="1"/>
  <c r="E70" i="1" s="1"/>
  <c r="F70" i="1" s="1"/>
  <c r="G70" i="1" s="1"/>
  <c r="C65" i="1"/>
  <c r="D65" i="1" s="1"/>
  <c r="E65" i="1" s="1"/>
  <c r="F65" i="1" s="1"/>
  <c r="G65" i="1" s="1"/>
  <c r="H65" i="1" s="1"/>
  <c r="C64" i="1"/>
  <c r="D64" i="1" s="1"/>
  <c r="E64" i="1" s="1"/>
  <c r="F64" i="1" s="1"/>
  <c r="G64" i="1" s="1"/>
  <c r="H64" i="1" s="1"/>
  <c r="C63" i="1"/>
  <c r="D63" i="1" s="1"/>
  <c r="E63" i="1" s="1"/>
  <c r="F63" i="1" s="1"/>
  <c r="G63" i="1" s="1"/>
  <c r="H63" i="1" s="1"/>
  <c r="C62" i="1"/>
  <c r="D62" i="1" s="1"/>
  <c r="E62" i="1" s="1"/>
  <c r="F62" i="1" s="1"/>
  <c r="G62" i="1" s="1"/>
  <c r="H62" i="1" s="1"/>
  <c r="C61" i="1"/>
  <c r="D61" i="1" s="1"/>
  <c r="E61" i="1" s="1"/>
  <c r="F61" i="1" s="1"/>
  <c r="G61" i="1" s="1"/>
  <c r="H61" i="1" s="1"/>
  <c r="C60" i="1"/>
  <c r="D60" i="1" s="1"/>
  <c r="E60" i="1" s="1"/>
  <c r="F60" i="1" s="1"/>
  <c r="G60" i="1" s="1"/>
  <c r="H60" i="1" s="1"/>
  <c r="C59" i="1"/>
  <c r="C58" i="1"/>
  <c r="D58" i="1" s="1"/>
  <c r="E58" i="1" s="1"/>
  <c r="F58" i="1" s="1"/>
  <c r="G58" i="1" s="1"/>
  <c r="H58" i="1" s="1"/>
  <c r="C52" i="1"/>
  <c r="D52" i="1" s="1"/>
  <c r="E52" i="1" s="1"/>
  <c r="F52" i="1" s="1"/>
  <c r="G52" i="1" s="1"/>
  <c r="H52" i="1" s="1"/>
  <c r="C51" i="1"/>
  <c r="D51" i="1" s="1"/>
  <c r="E51" i="1" s="1"/>
  <c r="F51" i="1" s="1"/>
  <c r="G51" i="1" s="1"/>
  <c r="H51" i="1" s="1"/>
  <c r="C50" i="1"/>
  <c r="D50" i="1" s="1"/>
  <c r="E50" i="1" s="1"/>
  <c r="F50" i="1" s="1"/>
  <c r="G50" i="1" s="1"/>
  <c r="H50" i="1" s="1"/>
  <c r="C49" i="1"/>
  <c r="D49" i="1" s="1"/>
  <c r="E49" i="1" s="1"/>
  <c r="F49" i="1" s="1"/>
  <c r="G49" i="1" s="1"/>
  <c r="H49" i="1" s="1"/>
  <c r="C48" i="1"/>
  <c r="D48" i="1" s="1"/>
  <c r="E48" i="1" s="1"/>
  <c r="F48" i="1" s="1"/>
  <c r="G48" i="1" s="1"/>
  <c r="H48" i="1" s="1"/>
  <c r="C47" i="1"/>
  <c r="D47" i="1" s="1"/>
  <c r="E47" i="1" s="1"/>
  <c r="F47" i="1" s="1"/>
  <c r="G47" i="1" s="1"/>
  <c r="H47" i="1" s="1"/>
  <c r="C46" i="1"/>
  <c r="D46" i="1" s="1"/>
  <c r="E46" i="1" s="1"/>
  <c r="F46" i="1" s="1"/>
  <c r="G46" i="1" s="1"/>
  <c r="H46" i="1" s="1"/>
  <c r="C44" i="1"/>
  <c r="D44" i="1" s="1"/>
  <c r="E44" i="1" s="1"/>
  <c r="F44" i="1" s="1"/>
  <c r="G44" i="1" s="1"/>
  <c r="H44" i="1" s="1"/>
  <c r="C43" i="1"/>
  <c r="D43" i="1" s="1"/>
  <c r="E43" i="1" s="1"/>
  <c r="F43" i="1" s="1"/>
  <c r="G43" i="1" s="1"/>
  <c r="H43" i="1" s="1"/>
  <c r="C42" i="1"/>
  <c r="D42" i="1" s="1"/>
  <c r="E42" i="1" s="1"/>
  <c r="F42" i="1" s="1"/>
  <c r="G42" i="1" s="1"/>
  <c r="H42" i="1" s="1"/>
  <c r="C41" i="1"/>
  <c r="C40" i="1"/>
  <c r="C38" i="1"/>
  <c r="D38" i="1" s="1"/>
  <c r="E38" i="1" s="1"/>
  <c r="F38" i="1" s="1"/>
  <c r="G38" i="1" s="1"/>
  <c r="H38" i="1" s="1"/>
  <c r="C37" i="1"/>
  <c r="D37" i="1" s="1"/>
  <c r="E37" i="1" s="1"/>
  <c r="F37" i="1" s="1"/>
  <c r="G37" i="1" s="1"/>
  <c r="H37" i="1" s="1"/>
  <c r="C36" i="1"/>
  <c r="C34" i="1"/>
  <c r="D34" i="1" s="1"/>
  <c r="E34" i="1" s="1"/>
  <c r="F34" i="1" s="1"/>
  <c r="G34" i="1" s="1"/>
  <c r="H34" i="1" s="1"/>
  <c r="C33" i="1"/>
  <c r="D33" i="1" s="1"/>
  <c r="E33" i="1" s="1"/>
  <c r="F33" i="1" s="1"/>
  <c r="G33" i="1" s="1"/>
  <c r="H33" i="1" s="1"/>
  <c r="C32" i="1"/>
  <c r="D32" i="1" s="1"/>
  <c r="E32" i="1" s="1"/>
  <c r="F32" i="1" s="1"/>
  <c r="G32" i="1" s="1"/>
  <c r="H32" i="1" s="1"/>
  <c r="C31" i="1"/>
  <c r="D31" i="1" s="1"/>
  <c r="E31" i="1" s="1"/>
  <c r="F31" i="1" s="1"/>
  <c r="G31" i="1" s="1"/>
  <c r="H31" i="1" s="1"/>
  <c r="C30" i="1"/>
  <c r="D30" i="1" s="1"/>
  <c r="E30" i="1" s="1"/>
  <c r="F30" i="1" s="1"/>
  <c r="G30" i="1" s="1"/>
  <c r="H30" i="1" s="1"/>
  <c r="C29" i="1"/>
  <c r="D29" i="1" s="1"/>
  <c r="E29" i="1" s="1"/>
  <c r="F29" i="1" s="1"/>
  <c r="G29" i="1" s="1"/>
  <c r="H29" i="1" s="1"/>
  <c r="C28" i="1"/>
  <c r="D28" i="1" s="1"/>
  <c r="E28" i="1" s="1"/>
  <c r="F28" i="1" s="1"/>
  <c r="G28" i="1" s="1"/>
  <c r="H28" i="1" s="1"/>
  <c r="C27" i="1"/>
  <c r="D27" i="1" s="1"/>
  <c r="E27" i="1" s="1"/>
  <c r="F27" i="1" s="1"/>
  <c r="G27" i="1" s="1"/>
  <c r="H27" i="1" s="1"/>
  <c r="C24" i="1"/>
  <c r="D24" i="1" s="1"/>
  <c r="E24" i="1" s="1"/>
  <c r="F24" i="1" s="1"/>
  <c r="G24" i="1" s="1"/>
  <c r="C19" i="1"/>
  <c r="D19" i="1" s="1"/>
  <c r="E19" i="1" s="1"/>
  <c r="F19" i="1" s="1"/>
  <c r="G19" i="1" s="1"/>
  <c r="C18" i="1"/>
  <c r="D18" i="1" s="1"/>
  <c r="E18" i="1" s="1"/>
  <c r="F18" i="1" s="1"/>
  <c r="G18" i="1" s="1"/>
  <c r="C56" i="1" l="1"/>
  <c r="D56" i="1" s="1"/>
  <c r="E56" i="1" s="1"/>
  <c r="F56" i="1" s="1"/>
  <c r="G56" i="1" s="1"/>
  <c r="C57" i="1"/>
  <c r="D57" i="1" s="1"/>
  <c r="E57" i="1" s="1"/>
  <c r="F57" i="1" s="1"/>
  <c r="G57" i="1" s="1"/>
</calcChain>
</file>

<file path=xl/sharedStrings.xml><?xml version="1.0" encoding="utf-8"?>
<sst xmlns="http://schemas.openxmlformats.org/spreadsheetml/2006/main" count="667" uniqueCount="351">
  <si>
    <t>SERVICIO DOMESTICO</t>
  </si>
  <si>
    <t>SERVICIO DE IMPORTACIÓN –EXPORTACIÓN</t>
  </si>
  <si>
    <t>SERVICIO A PUERTOS MARITIMOS</t>
  </si>
  <si>
    <t>SERVICIOS DEDICADOS</t>
  </si>
  <si>
    <t>Sueldo Operador</t>
  </si>
  <si>
    <t>Viaticos</t>
  </si>
  <si>
    <t>Productividad y Calidad</t>
  </si>
  <si>
    <t>Demoras en carga y descarga</t>
  </si>
  <si>
    <t>Chofer de camioneta de 3 a 4.5 ton.</t>
  </si>
  <si>
    <t>Ayudante de camioneta de 3 a 4.5 ton.</t>
  </si>
  <si>
    <t>Mecánico de primera</t>
  </si>
  <si>
    <t>Mecánico de segunda</t>
  </si>
  <si>
    <t>Estibador</t>
  </si>
  <si>
    <t>Sencillo</t>
  </si>
  <si>
    <t>Factor de productividad y Calidad para otros destinos</t>
  </si>
  <si>
    <t>Excepto viajes Guadalajara- Mèxico</t>
  </si>
  <si>
    <t>Por Kilomètro recorrido</t>
  </si>
  <si>
    <t>Por viaje redondo</t>
  </si>
  <si>
    <t>Viaje Local Guadalajara</t>
  </si>
  <si>
    <t xml:space="preserve">Viaje Local Amatitan, Jal. </t>
  </si>
  <si>
    <t>Viaje Local Mèxico</t>
  </si>
  <si>
    <t>Viaje Puebla-Mèxco</t>
  </si>
  <si>
    <t xml:space="preserve">Viaje Toluca-Mèxico </t>
  </si>
  <si>
    <t xml:space="preserve">Viaje Huejotingo,Puebla- Toluca            </t>
  </si>
  <si>
    <t>Guadalajara-Mèxico</t>
  </si>
  <si>
    <t>Guadalajara a Puebla, Pachuca</t>
  </si>
  <si>
    <t>Toluca, Cuernavaca, Cuautla</t>
  </si>
  <si>
    <t xml:space="preserve">Tlalmanalco,y Tenango del Aire </t>
  </si>
  <si>
    <t>Guadalajara a Puebla, Pachuca,Toluca, Cuernavaca, Cuautla,y Tlalmanalco y Tenango del Aire</t>
  </si>
  <si>
    <t>Carga y descarga de Cajas</t>
  </si>
  <si>
    <t>Estancias en Taller</t>
  </si>
  <si>
    <t>Por dia despues del primero</t>
  </si>
  <si>
    <t>Por cada 24 hrs</t>
  </si>
  <si>
    <t>Reparto Adicional</t>
  </si>
  <si>
    <t>Por cada uno despues del primero</t>
  </si>
  <si>
    <t>Salario de Garantia para operador de Trailer</t>
  </si>
  <si>
    <t>No Pista Mèx-Puebla ò</t>
  </si>
  <si>
    <t>Retorno Libre Mèx-Puebla</t>
  </si>
  <si>
    <t>Guia Monterrey</t>
  </si>
  <si>
    <t>Guìa resto de la republica</t>
  </si>
  <si>
    <t>Excepto Mèxico</t>
  </si>
  <si>
    <t>Hotel  (Cláusula XVI)</t>
  </si>
  <si>
    <t>Vales de Despensa Mensual (Clàusula cuadragèsima quinta)</t>
  </si>
  <si>
    <t>Servicio Dedicado por 12 Horas diarias</t>
  </si>
  <si>
    <t>Servicio Dedicado por 8 Horas diarias</t>
  </si>
  <si>
    <t>Hora Extra en servicio dedicado</t>
  </si>
  <si>
    <t>Tarjetas Telefonicas</t>
  </si>
  <si>
    <t>Ayudante de Mecànico</t>
  </si>
  <si>
    <t xml:space="preserve">Velador </t>
  </si>
  <si>
    <t>Factor de Sueldo por Km</t>
  </si>
  <si>
    <t>Factor de viaticos por Km</t>
  </si>
  <si>
    <t xml:space="preserve">Descarga de Cajas de sin Viaje Asignado </t>
  </si>
  <si>
    <t>Ayuda Especial para alimentos</t>
  </si>
  <si>
    <t>Compesaciòn Dominical</t>
  </si>
  <si>
    <t xml:space="preserve">Monterrey-Laredo Monterrey                      </t>
  </si>
  <si>
    <t>Movimiento de Caja</t>
  </si>
  <si>
    <t>Por Kilòmetro Recorrido</t>
  </si>
  <si>
    <t>Por viaje</t>
  </si>
  <si>
    <t>Salario Gdl-Altamira en  Full</t>
  </si>
  <si>
    <t>Viatico Gdl-Altamira en Full</t>
  </si>
  <si>
    <t>Salario Gdl-Altamira en  Sencillo</t>
  </si>
  <si>
    <t>Viatico Gdl-Altamira en Sencillo</t>
  </si>
  <si>
    <t>Salario Gdl-Manzanillo en Full</t>
  </si>
  <si>
    <t>Viatico Gdl-Manzanillo en Full</t>
  </si>
  <si>
    <t>Salario Gdl-Manzanillo en Sencillo</t>
  </si>
  <si>
    <t>Viatico Gdl-Manzanillo en Sencillo</t>
  </si>
  <si>
    <t>Compensaciòn Gdl-Manzanillo-Gdl Cargado-Cargado</t>
  </si>
  <si>
    <t xml:space="preserve">Full  </t>
  </si>
  <si>
    <t>Full-Sencillo</t>
  </si>
  <si>
    <t>Viaje Local Urbano de 0 a 40 Km del Pèriferico Gdl</t>
  </si>
  <si>
    <t>Viaje Local Foràneo de 40 a 160 Km de Gdl</t>
  </si>
  <si>
    <t>Recorrido Para Lavado de contenedor</t>
  </si>
  <si>
    <t>Segunda Terminal Para entrega o recolecciòn en Puerto</t>
  </si>
  <si>
    <t>Semàforo rojo en revisiòn aduanal por cada una</t>
  </si>
  <si>
    <t>Hospedaje en Altamira</t>
  </si>
  <si>
    <t>Recolecciòn segundo contenedor en domicilio diferente al primero</t>
  </si>
  <si>
    <t>Demora en Carga</t>
  </si>
  <si>
    <t>Demora en Turno</t>
  </si>
  <si>
    <t>RYDER dedicado Guadalajara (TR2)</t>
  </si>
  <si>
    <t>Tractocamiòn Local por 12 Horas</t>
  </si>
  <si>
    <t>Hora Extra Tractocamiòn</t>
  </si>
  <si>
    <t xml:space="preserve">Chofer Rabon Local por 12 Horas        </t>
  </si>
  <si>
    <t>Hora Extra Chofer Rabòn</t>
  </si>
  <si>
    <t>Ayudante Rabòn por 12 Horas</t>
  </si>
  <si>
    <t>Hora Extra Ayudante Rabòn</t>
  </si>
  <si>
    <t>Prima Dominical Tracto</t>
  </si>
  <si>
    <t>Prima Dominical Rabòn</t>
  </si>
  <si>
    <t>Prima Dominical Ayudante</t>
  </si>
  <si>
    <t>RYDER SERVICIO DEDICADO  CD. GUZMAN (ZAPOTLAN)</t>
  </si>
  <si>
    <t>Sueldo por Kilometro</t>
  </si>
  <si>
    <t>Sueldo Operador Patio 12 Horas</t>
  </si>
  <si>
    <t>Domingo Trabajado Foràneo</t>
  </si>
  <si>
    <t>Domingo Trabajado en Patio</t>
  </si>
  <si>
    <t>Diarios</t>
  </si>
  <si>
    <t xml:space="preserve">Tlalmanalcoy Tenango del Aire </t>
  </si>
  <si>
    <t>Viaje Local Atotonilco, Jal.</t>
  </si>
  <si>
    <t>Prima Dominical</t>
  </si>
  <si>
    <t>Descarga de cajas sin viaje asignado</t>
  </si>
  <si>
    <t>Movimiento de caja vacia</t>
  </si>
  <si>
    <t>Demora en carga</t>
  </si>
  <si>
    <t>Demora en descarga</t>
  </si>
  <si>
    <t>Demora en turno</t>
  </si>
  <si>
    <t>Por contenedor vacio flete circuito</t>
  </si>
  <si>
    <t>Demora en Descarga</t>
  </si>
  <si>
    <t>Entrega o Recoleccion de Contenedor En San Isidrio Mazatepc</t>
  </si>
  <si>
    <t>Viaje Puebla-Mèxico</t>
  </si>
  <si>
    <t>Guia por primera ocasión y autorizada por la empresa</t>
  </si>
  <si>
    <t>cita de carga</t>
  </si>
  <si>
    <t>inicio trayecto</t>
  </si>
  <si>
    <t>DIA</t>
  </si>
  <si>
    <t>llegada a descarga</t>
  </si>
  <si>
    <t>descarga finalizada</t>
  </si>
  <si>
    <t>51 hrs</t>
  </si>
  <si>
    <t>HRS</t>
  </si>
  <si>
    <t xml:space="preserve">Chasis portacontenedor sencillo </t>
  </si>
  <si>
    <t>Configuración doble remolque (full)</t>
  </si>
  <si>
    <t xml:space="preserve">Viaje Huejotzingo,Puebla- Toluca            </t>
  </si>
  <si>
    <t xml:space="preserve">Por Kilomètro recorrido </t>
  </si>
  <si>
    <t xml:space="preserve">Monterrey-Laredo o viceversa                 </t>
  </si>
  <si>
    <t>Pesaje de Contenedor Cargado</t>
  </si>
  <si>
    <t>Demora en Turno Altamira</t>
  </si>
  <si>
    <t>De 0 a 300 km en full</t>
  </si>
  <si>
    <t>De 0 a 300 km en sencillo</t>
  </si>
  <si>
    <t>De 301 a 800 km en full</t>
  </si>
  <si>
    <t>De 301 a 800 km en sencillo</t>
  </si>
  <si>
    <t>De 801 a 1500 km en full</t>
  </si>
  <si>
    <t>De 801 a 1500 km en sencillo</t>
  </si>
  <si>
    <t>De 1500 a más km en full</t>
  </si>
  <si>
    <t>De 1500 a más km en sencillo</t>
  </si>
  <si>
    <t>Semàforo rojo en revisión aduanal por cada una</t>
  </si>
  <si>
    <t xml:space="preserve">De o a 200 km </t>
  </si>
  <si>
    <t>De 201 a 500 km</t>
  </si>
  <si>
    <t>De 501 a 800 km</t>
  </si>
  <si>
    <t>De 801 a 1100 km</t>
  </si>
  <si>
    <t>De 1101 a 1400 km</t>
  </si>
  <si>
    <t>De 1401 a 1700 km</t>
  </si>
  <si>
    <t>De 1701 a 2000 km</t>
  </si>
  <si>
    <t>De 2001 a 2300 km</t>
  </si>
  <si>
    <t xml:space="preserve">Local Guadalajara </t>
  </si>
  <si>
    <t>Local México, Monterrey y resto del País</t>
  </si>
  <si>
    <t>Reparto adicional</t>
  </si>
  <si>
    <t>Demora o estancia en viaje</t>
  </si>
  <si>
    <t>Prima dominical</t>
  </si>
  <si>
    <t>Salario de garanía</t>
  </si>
  <si>
    <t>Movimiento de semirremolque en patio</t>
  </si>
  <si>
    <t>Guía</t>
  </si>
  <si>
    <t>Salario de Garantía</t>
  </si>
  <si>
    <t>Hora Extra</t>
  </si>
  <si>
    <t>Hora Extra primeras 9 hrs semanales</t>
  </si>
  <si>
    <t>Hora Extra después de las priemeras 9 hrs semanales</t>
  </si>
  <si>
    <t xml:space="preserve">Prima Dominical </t>
  </si>
  <si>
    <t>Maniobra de descarga</t>
  </si>
  <si>
    <t>Sueldo diario Camioneta 1.5 a 3.5 toneladas</t>
  </si>
  <si>
    <t>Recorrido total (circuito) mayor a 350 km</t>
  </si>
  <si>
    <t>Cláusula 82</t>
  </si>
  <si>
    <t>Cláusula 84</t>
  </si>
  <si>
    <t>Cláusula 85</t>
  </si>
  <si>
    <t>Cláusula 83</t>
  </si>
  <si>
    <t>Clásula 62</t>
  </si>
  <si>
    <t>Clásula 42</t>
  </si>
  <si>
    <t>Clásula 60</t>
  </si>
  <si>
    <t>Clásula 40</t>
  </si>
  <si>
    <t>Clásula 61-b</t>
  </si>
  <si>
    <t>Clásula 63-c</t>
  </si>
  <si>
    <t>Cláusula 82-d</t>
  </si>
  <si>
    <t>Cláusula 83-a</t>
  </si>
  <si>
    <t>Clásula 84</t>
  </si>
  <si>
    <t>Clásula 89</t>
  </si>
  <si>
    <t>Clásula 56</t>
  </si>
  <si>
    <t xml:space="preserve">Seguro de Vida </t>
  </si>
  <si>
    <t>Clásula 59</t>
  </si>
  <si>
    <t>Cláusula 85-a</t>
  </si>
  <si>
    <t>Cláusula 85-b</t>
  </si>
  <si>
    <t>Cláusula 85-c</t>
  </si>
  <si>
    <t>Cláusula 85-d</t>
  </si>
  <si>
    <t>Cláusula 88</t>
  </si>
  <si>
    <t>Cláusula 90</t>
  </si>
  <si>
    <t>Cláusula 93</t>
  </si>
  <si>
    <t xml:space="preserve">Hotel  </t>
  </si>
  <si>
    <t xml:space="preserve">Hotel en Altamira </t>
  </si>
  <si>
    <t>Clásula 86</t>
  </si>
  <si>
    <t xml:space="preserve">Vales de Despensa Mensual </t>
  </si>
  <si>
    <t>Clásula 50</t>
  </si>
  <si>
    <t>Clásula 63-d</t>
  </si>
  <si>
    <t>Clásula 98</t>
  </si>
  <si>
    <t>Clásula 58</t>
  </si>
  <si>
    <t>Clásula 96</t>
  </si>
  <si>
    <t>Clásula 83-e</t>
  </si>
  <si>
    <t>SERVICIO  PUERTOS MARITIMOS</t>
  </si>
  <si>
    <t xml:space="preserve">SEGURO DE VIDA EN GRUPO </t>
  </si>
  <si>
    <t>Cláusula 47</t>
  </si>
  <si>
    <t>COMPENSACIÓN  GDL-MANZANILLO-GDL CARGADO-CARGADO</t>
  </si>
  <si>
    <t>Cláusula 42</t>
  </si>
  <si>
    <t>Cláusula 54 y 56</t>
  </si>
  <si>
    <t>Cláusula 92</t>
  </si>
  <si>
    <t>Cláusula 91</t>
  </si>
  <si>
    <t xml:space="preserve">Operador de Patio Manzanillo pago por contenedor recolección y/o entrega </t>
  </si>
  <si>
    <t>Pago semanal fijo Operador de Patio Manzanillo Jornada de lunes a sábado</t>
  </si>
  <si>
    <t>REPARTO URBANO CAMIONETA DE 1 a 1.5 TONELADAS</t>
  </si>
  <si>
    <t>Jornada diaria de lunes a sábado 12 hrs</t>
  </si>
  <si>
    <t>Local Zona 1 hasta 50 km</t>
  </si>
  <si>
    <t>Local Zona 2 de 51 a 100 km</t>
  </si>
  <si>
    <t>Local Queretaro</t>
  </si>
  <si>
    <t>Local Cuatlancingo Puebla</t>
  </si>
  <si>
    <t>Local Puebla</t>
  </si>
  <si>
    <t>Local Jocotitlan</t>
  </si>
  <si>
    <t xml:space="preserve">Local Zinacantepec </t>
  </si>
  <si>
    <t>Local Ixmiquilpan</t>
  </si>
  <si>
    <t xml:space="preserve">Local Tlaxcala </t>
  </si>
  <si>
    <t>Local Pachuca</t>
  </si>
  <si>
    <t>Méx-Celaya-Méx</t>
  </si>
  <si>
    <t>Méx-Morelia-Méx</t>
  </si>
  <si>
    <t>Local  Zona 2  de 51 hasta 100 km</t>
  </si>
  <si>
    <t xml:space="preserve">Jocotitlan </t>
  </si>
  <si>
    <t>Tlaxcala</t>
  </si>
  <si>
    <t>Puebla</t>
  </si>
  <si>
    <t>Queretaro</t>
  </si>
  <si>
    <t>San Miguel Allende Gto</t>
  </si>
  <si>
    <t>Oaxaca</t>
  </si>
  <si>
    <t>Tehuacan Pue</t>
  </si>
  <si>
    <t>Villahermosa</t>
  </si>
  <si>
    <t>Veracruz</t>
  </si>
  <si>
    <t>Poza Rica Ver.</t>
  </si>
  <si>
    <t>Xalapa</t>
  </si>
  <si>
    <t>Zamora</t>
  </si>
  <si>
    <t>Morelia</t>
  </si>
  <si>
    <t>Cuernavaca</t>
  </si>
  <si>
    <t>Cordoba Ver.</t>
  </si>
  <si>
    <t>Ixmiquilpan Hgo</t>
  </si>
  <si>
    <t>Merida</t>
  </si>
  <si>
    <t>Leon</t>
  </si>
  <si>
    <t>Acapulco</t>
  </si>
  <si>
    <t>Saltillo</t>
  </si>
  <si>
    <t>San Luis Potosi</t>
  </si>
  <si>
    <t>Huejutla De Reyes Hgo</t>
  </si>
  <si>
    <t>Salario Garantia</t>
  </si>
  <si>
    <t>Acaponeta</t>
  </si>
  <si>
    <t>Agua Prieta</t>
  </si>
  <si>
    <t>Aguascalientes</t>
  </si>
  <si>
    <t>Amatitan</t>
  </si>
  <si>
    <t>Ameca</t>
  </si>
  <si>
    <t>Atotonilco</t>
  </si>
  <si>
    <t>Arandas</t>
  </si>
  <si>
    <t>Armeria</t>
  </si>
  <si>
    <t>Autlan</t>
  </si>
  <si>
    <t>Caborca</t>
  </si>
  <si>
    <t>Cancun</t>
  </si>
  <si>
    <t>Celaya</t>
  </si>
  <si>
    <t>Chapala</t>
  </si>
  <si>
    <t>Ciudad De Mexico</t>
  </si>
  <si>
    <t>Ciudad Guzman</t>
  </si>
  <si>
    <t>Ciudad Obregon</t>
  </si>
  <si>
    <t>Colima</t>
  </si>
  <si>
    <t xml:space="preserve">Compostela </t>
  </si>
  <si>
    <t>Cortazar</t>
  </si>
  <si>
    <t>Culiacan</t>
  </si>
  <si>
    <t>Escuinapa</t>
  </si>
  <si>
    <t>Fresnillo</t>
  </si>
  <si>
    <t>Gomez Palacio</t>
  </si>
  <si>
    <t>Guadalajara Local</t>
  </si>
  <si>
    <t>Guadalupe</t>
  </si>
  <si>
    <t xml:space="preserve">Guanajuato </t>
  </si>
  <si>
    <t>Guaymas</t>
  </si>
  <si>
    <t>Hermosillo</t>
  </si>
  <si>
    <t>Huatabampo</t>
  </si>
  <si>
    <t>Irapuato</t>
  </si>
  <si>
    <t>Ixtlan Del Rio</t>
  </si>
  <si>
    <t>Jalostotitlan</t>
  </si>
  <si>
    <t>La Barca</t>
  </si>
  <si>
    <t xml:space="preserve">La Piedad </t>
  </si>
  <si>
    <t>Lagos De Moreno</t>
  </si>
  <si>
    <t>Lazaro Cardenas</t>
  </si>
  <si>
    <t>Los Mochis ( Ahome,Guasave )</t>
  </si>
  <si>
    <t>Los Reyes</t>
  </si>
  <si>
    <t>Manzanillo</t>
  </si>
  <si>
    <t>Matehuala</t>
  </si>
  <si>
    <t>Mazatlan</t>
  </si>
  <si>
    <t>Monterrey</t>
  </si>
  <si>
    <t>Moroleon</t>
  </si>
  <si>
    <t>Navojoa</t>
  </si>
  <si>
    <t xml:space="preserve">Nogales </t>
  </si>
  <si>
    <t>Ocotlan</t>
  </si>
  <si>
    <t>Puerto Vallarta</t>
  </si>
  <si>
    <t>Rio Grande</t>
  </si>
  <si>
    <t>Sahuayo</t>
  </si>
  <si>
    <t>Salamanca</t>
  </si>
  <si>
    <t>San Blas</t>
  </si>
  <si>
    <t>San Francisco Del Rincon</t>
  </si>
  <si>
    <t>San Ignacio Cerro Gordo</t>
  </si>
  <si>
    <t>San Juan De Los Lagos</t>
  </si>
  <si>
    <t>San Luis La Paz</t>
  </si>
  <si>
    <t>San Mateo Atenco</t>
  </si>
  <si>
    <t>Sanfrancisco De Los Romo/Arteaga</t>
  </si>
  <si>
    <t>Santiago Ixcuintla</t>
  </si>
  <si>
    <t>Sayula</t>
  </si>
  <si>
    <t>Soledad</t>
  </si>
  <si>
    <t>Sombrerete</t>
  </si>
  <si>
    <t>Tecolotlan</t>
  </si>
  <si>
    <t>Tecoman</t>
  </si>
  <si>
    <t>Tecuala</t>
  </si>
  <si>
    <t>Tepatitlan De Morelos</t>
  </si>
  <si>
    <t>Tepic</t>
  </si>
  <si>
    <t>Tequila</t>
  </si>
  <si>
    <t>Tijuana</t>
  </si>
  <si>
    <t>Tlajomulco</t>
  </si>
  <si>
    <t>Tonala</t>
  </si>
  <si>
    <t>Tuxpan</t>
  </si>
  <si>
    <t>Uriangato</t>
  </si>
  <si>
    <t>Uruapan</t>
  </si>
  <si>
    <t>Villa De Alvarez</t>
  </si>
  <si>
    <t>Yurecuaro</t>
  </si>
  <si>
    <t>Zacatecas</t>
  </si>
  <si>
    <t>Zapotlanejo</t>
  </si>
  <si>
    <t>Zitacuaro</t>
  </si>
  <si>
    <t xml:space="preserve">Estancia Por Dia </t>
  </si>
  <si>
    <t xml:space="preserve">Reparto Adicional </t>
  </si>
  <si>
    <t>Domingo Trabajado</t>
  </si>
  <si>
    <t>Cláusula 100</t>
  </si>
  <si>
    <t>Carga en Aguascalientes, Queretaro, Guanajuato y San Luis Potosi</t>
  </si>
  <si>
    <t>Resguardo de Contenedor en domicilio diferente al de patio de la empresa</t>
  </si>
  <si>
    <t>Servicio Dedicado Urbano Zona Guadalajara</t>
  </si>
  <si>
    <t>Servicio Dedicado Urbano Zona México</t>
  </si>
  <si>
    <t>Servicio Dedicado Foraneo</t>
  </si>
  <si>
    <t>Servicio Dedicado Foraneo Zona México</t>
  </si>
  <si>
    <t>Servicio Dedicado Torton (C3) Zona México</t>
  </si>
  <si>
    <t>Servicio Dedicado Torton (C3) Zona Guadalajara</t>
  </si>
  <si>
    <t>Gastos de Viaje Comprobados</t>
  </si>
  <si>
    <t>Gastos de Viaje Comprobados Gdl-Altamira en Full</t>
  </si>
  <si>
    <t>Gastos de Viaje Comprobados Gdl-Altamira en Sencillo</t>
  </si>
  <si>
    <t>Gastos de Viaje Comprobados Gdl-Manzanillo en Full</t>
  </si>
  <si>
    <t>Gastos de Viaje Comprobados Gdl-Manzanillo en Sencillo</t>
  </si>
  <si>
    <t>Factor de Gastos de Viaje Comprobados por Km</t>
  </si>
  <si>
    <t xml:space="preserve">Hotel </t>
  </si>
  <si>
    <t>FACTORES DE SUELDO Y GASTOS DE VIAJE COMPROBADOS, INTEGRADO POR KM EN RUTAS DISTINTAS A MANZANILLO ALTAMIRA</t>
  </si>
  <si>
    <t xml:space="preserve">Salario de garantía por laborar en día de descanso obligatorio  </t>
  </si>
  <si>
    <t>Por día despues del primero</t>
  </si>
  <si>
    <t>Domigo y día de descanso obligatorio</t>
  </si>
  <si>
    <t>Méx-Cortazar-Méx</t>
  </si>
  <si>
    <t>Compensación Gdl-Mzo-Gdl cargado Full</t>
  </si>
  <si>
    <t>Compensación Gdl-Mzo-Gdl cargado sencillo</t>
  </si>
  <si>
    <t>Salario diario en jornada máxima de 6 hrs en día sábado o domingo semiremolque sencillo</t>
  </si>
  <si>
    <t>Salario diario en jornada de 12 hrs de lunes a sabado semiremolque sencillo</t>
  </si>
  <si>
    <t>Salario diario en jornada de 8 hrs de lunes a sabado semiremolque sencillo</t>
  </si>
  <si>
    <t>Salario diario en jornada de 12 hrs de lunes a sabado doble semiremolque (Full)</t>
  </si>
  <si>
    <t>Clásula 85- f</t>
  </si>
  <si>
    <t>Clásula 85- g</t>
  </si>
  <si>
    <t>Pago diario fijo Operador de Patio Guadalajara por 12 horas de lunes a sábado</t>
  </si>
  <si>
    <t>Tiempo excedente por hora pago a Operador de Patio Guadalajara.</t>
  </si>
  <si>
    <t>OPERADOR DE PATIO Y TRASLADO URBANO (LOCAL) SEMIREMOLQUE SENCILLO</t>
  </si>
  <si>
    <t>Clásula 83</t>
  </si>
  <si>
    <t>Recorrido total (circuito) mayor  a 350 km en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</si>
</sst>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00;[Red]\-&quot;$&quot;#,##0.0000"/>
    <numFmt numFmtId="165" formatCode="_-* #,##0.0000_-;\-* #,##0.0000_-;_-* &quot;-&quot;??_-;_-@_-"/>
    <numFmt numFmtId="166" formatCode="_-&quot;$&quot;* #,##0.0000_-;\-&quot;$&quot;* #,##0.0000_-;_-&quot;$&quot;* &quot;-&quot;??_-;_-@_-"/>
    <numFmt numFmtId="167" formatCode="&quot;$&quot;#,##0.000000;[Red]\-&quot;$&quot;#,##0.000000"/>
    <numFmt numFmtId="168" formatCode="_-&quot;$&quot;* #,##0_-;\-&quot;$&quot;* #,##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rgb="FF002060"/>
      <name val="Times New Roman"/>
      <family val="1"/>
    </font>
    <font>
      <b/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Continuous" vertical="center" wrapText="1"/>
    </xf>
    <xf numFmtId="0" fontId="0" fillId="0" borderId="0" xfId="0" applyAlignment="1">
      <alignment vertical="center"/>
    </xf>
    <xf numFmtId="165" fontId="0" fillId="0" borderId="0" xfId="1" applyNumberFormat="1" applyFont="1"/>
    <xf numFmtId="43" fontId="0" fillId="0" borderId="0" xfId="1" applyFont="1"/>
    <xf numFmtId="20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8" fontId="2" fillId="0" borderId="0" xfId="0" applyNumberFormat="1" applyFont="1"/>
    <xf numFmtId="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6" fontId="4" fillId="0" borderId="0" xfId="0" applyNumberFormat="1" applyFont="1" applyAlignment="1">
      <alignment horizontal="center" vertical="center"/>
    </xf>
    <xf numFmtId="6" fontId="2" fillId="0" borderId="0" xfId="0" applyNumberFormat="1" applyFont="1"/>
    <xf numFmtId="0" fontId="6" fillId="0" borderId="0" xfId="0" applyFont="1"/>
    <xf numFmtId="0" fontId="9" fillId="0" borderId="0" xfId="0" applyFont="1"/>
    <xf numFmtId="6" fontId="9" fillId="0" borderId="0" xfId="0" applyNumberFormat="1" applyFont="1"/>
    <xf numFmtId="0" fontId="8" fillId="0" borderId="0" xfId="0" applyFont="1"/>
    <xf numFmtId="8" fontId="8" fillId="0" borderId="0" xfId="0" applyNumberFormat="1" applyFont="1"/>
    <xf numFmtId="0" fontId="3" fillId="0" borderId="0" xfId="0" applyFont="1" applyAlignment="1">
      <alignment vertical="center"/>
    </xf>
    <xf numFmtId="164" fontId="2" fillId="0" borderId="0" xfId="0" applyNumberFormat="1" applyFont="1"/>
    <xf numFmtId="9" fontId="2" fillId="0" borderId="0" xfId="2" applyFont="1" applyFill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/>
    <xf numFmtId="8" fontId="10" fillId="0" borderId="0" xfId="0" applyNumberFormat="1" applyFont="1" applyAlignment="1">
      <alignment vertical="center"/>
    </xf>
    <xf numFmtId="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8" fontId="10" fillId="0" borderId="0" xfId="0" applyNumberFormat="1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43" fontId="10" fillId="0" borderId="0" xfId="1" applyFont="1" applyFill="1" applyAlignment="1">
      <alignment vertical="center"/>
    </xf>
    <xf numFmtId="6" fontId="10" fillId="0" borderId="0" xfId="0" applyNumberFormat="1" applyFont="1"/>
    <xf numFmtId="0" fontId="4" fillId="0" borderId="0" xfId="0" applyFont="1" applyAlignment="1">
      <alignment horizontal="left"/>
    </xf>
    <xf numFmtId="10" fontId="2" fillId="0" borderId="0" xfId="2" applyNumberFormat="1" applyFont="1"/>
    <xf numFmtId="43" fontId="8" fillId="0" borderId="0" xfId="1" applyFont="1"/>
    <xf numFmtId="166" fontId="10" fillId="0" borderId="0" xfId="5" applyNumberFormat="1" applyFont="1" applyAlignment="1">
      <alignment vertical="center"/>
    </xf>
    <xf numFmtId="167" fontId="2" fillId="0" borderId="0" xfId="0" applyNumberFormat="1" applyFont="1"/>
    <xf numFmtId="0" fontId="8" fillId="0" borderId="0" xfId="1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2" borderId="0" xfId="0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8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 vertical="top" wrapText="1"/>
    </xf>
    <xf numFmtId="6" fontId="10" fillId="2" borderId="0" xfId="0" applyNumberFormat="1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vertical="center" wrapText="1"/>
    </xf>
    <xf numFmtId="8" fontId="2" fillId="2" borderId="0" xfId="0" applyNumberFormat="1" applyFont="1" applyFill="1" applyAlignment="1">
      <alignment vertical="center"/>
    </xf>
    <xf numFmtId="6" fontId="2" fillId="2" borderId="0" xfId="0" applyNumberFormat="1" applyFont="1" applyFill="1" applyAlignment="1">
      <alignment vertical="center"/>
    </xf>
    <xf numFmtId="43" fontId="10" fillId="2" borderId="0" xfId="1" applyFont="1" applyFill="1"/>
    <xf numFmtId="168" fontId="10" fillId="2" borderId="0" xfId="5" applyNumberFormat="1" applyFont="1" applyFill="1"/>
  </cellXfs>
  <cellStyles count="6">
    <cellStyle name="Millares" xfId="1" builtinId="3"/>
    <cellStyle name="Millares 2" xfId="4" xr:uid="{57F6ECC0-7645-4445-B009-E0B29FBB4611}"/>
    <cellStyle name="Moneda" xfId="5" builtinId="4"/>
    <cellStyle name="Moneda 2" xfId="3" xr:uid="{E649DEA7-0C9C-4D07-9FB7-FEDDFE7757AA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8"/>
  <sheetViews>
    <sheetView tabSelected="1" topLeftCell="A5" zoomScale="91" zoomScaleNormal="91" workbookViewId="0">
      <selection activeCell="I29" sqref="I29"/>
    </sheetView>
  </sheetViews>
  <sheetFormatPr baseColWidth="10" defaultColWidth="11.5703125" defaultRowHeight="15.75" x14ac:dyDescent="0.25"/>
  <cols>
    <col min="1" max="1" width="54.28515625" style="12" customWidth="1"/>
    <col min="2" max="2" width="10.140625" style="12" hidden="1" customWidth="1"/>
    <col min="3" max="3" width="12.28515625" style="12" hidden="1" customWidth="1"/>
    <col min="4" max="4" width="10.140625" style="12" hidden="1" customWidth="1"/>
    <col min="5" max="5" width="1.42578125" style="12" hidden="1" customWidth="1"/>
    <col min="6" max="7" width="15.7109375" style="21" hidden="1" customWidth="1"/>
    <col min="8" max="8" width="14" style="21" customWidth="1"/>
    <col min="9" max="9" width="38" style="12" customWidth="1"/>
    <col min="10" max="10" width="20.140625" style="10" customWidth="1"/>
    <col min="11" max="13" width="20.140625" style="12" customWidth="1"/>
    <col min="14" max="16384" width="11.5703125" style="12"/>
  </cols>
  <sheetData>
    <row r="1" spans="1:14" hidden="1" x14ac:dyDescent="0.25">
      <c r="D1" s="22"/>
      <c r="E1" s="23">
        <v>2021</v>
      </c>
      <c r="F1" s="24">
        <v>2022</v>
      </c>
      <c r="G1" s="24"/>
      <c r="H1" s="24"/>
    </row>
    <row r="2" spans="1:14" hidden="1" x14ac:dyDescent="0.25">
      <c r="D2" s="22"/>
      <c r="E2" s="25">
        <v>1.03</v>
      </c>
      <c r="F2" s="26">
        <v>1.08</v>
      </c>
      <c r="G2" s="26"/>
      <c r="H2" s="26"/>
    </row>
    <row r="3" spans="1:14" hidden="1" x14ac:dyDescent="0.25">
      <c r="D3" s="22"/>
      <c r="E3" s="25"/>
      <c r="F3" s="26"/>
      <c r="G3" s="51">
        <v>2023</v>
      </c>
      <c r="H3" s="51">
        <v>2024</v>
      </c>
    </row>
    <row r="4" spans="1:14" hidden="1" x14ac:dyDescent="0.25">
      <c r="D4" s="22"/>
      <c r="E4" s="25"/>
      <c r="F4" s="26"/>
      <c r="G4" s="26"/>
      <c r="H4" s="48">
        <v>1.05</v>
      </c>
    </row>
    <row r="5" spans="1:14" x14ac:dyDescent="0.25">
      <c r="D5" s="22"/>
      <c r="E5" s="25"/>
      <c r="F5" s="26"/>
      <c r="G5" s="26"/>
      <c r="H5" s="26"/>
    </row>
    <row r="6" spans="1:14" hidden="1" x14ac:dyDescent="0.25">
      <c r="D6" s="22"/>
      <c r="E6" s="25"/>
      <c r="F6" s="26"/>
      <c r="G6" s="26">
        <v>1.08</v>
      </c>
      <c r="H6" s="26"/>
    </row>
    <row r="7" spans="1:14" x14ac:dyDescent="0.25">
      <c r="D7" s="22"/>
      <c r="E7" s="25"/>
      <c r="F7" s="26"/>
      <c r="G7" s="26"/>
      <c r="H7" s="26"/>
    </row>
    <row r="8" spans="1:14" x14ac:dyDescent="0.25">
      <c r="D8" s="22"/>
      <c r="E8" s="25"/>
      <c r="F8" s="26"/>
      <c r="G8" s="26"/>
      <c r="H8" s="26"/>
    </row>
    <row r="9" spans="1:14" x14ac:dyDescent="0.25">
      <c r="D9" s="22"/>
      <c r="E9" s="25"/>
      <c r="F9" s="26"/>
      <c r="G9" s="26"/>
      <c r="H9" s="26"/>
    </row>
    <row r="10" spans="1:14" x14ac:dyDescent="0.25">
      <c r="D10" s="22"/>
      <c r="E10" s="25"/>
      <c r="F10" s="26"/>
      <c r="G10" s="26"/>
      <c r="H10" s="26"/>
    </row>
    <row r="11" spans="1:14" x14ac:dyDescent="0.25">
      <c r="C11" s="47"/>
      <c r="D11" s="22"/>
      <c r="E11" s="25"/>
      <c r="F11" s="26"/>
      <c r="G11" s="26"/>
    </row>
    <row r="12" spans="1:14" x14ac:dyDescent="0.25">
      <c r="D12" s="22"/>
      <c r="E12" s="25"/>
      <c r="F12" s="26"/>
      <c r="G12" s="26"/>
      <c r="H12" s="26"/>
    </row>
    <row r="13" spans="1:14" x14ac:dyDescent="0.25">
      <c r="D13" s="22"/>
      <c r="E13" s="25"/>
      <c r="F13" s="26"/>
      <c r="G13" s="26"/>
      <c r="H13" s="26"/>
      <c r="I13" s="50"/>
    </row>
    <row r="14" spans="1:14" ht="20.25" x14ac:dyDescent="0.25">
      <c r="A14" s="57" t="s">
        <v>0</v>
      </c>
      <c r="B14" s="57"/>
      <c r="C14" s="57"/>
      <c r="D14" s="57"/>
      <c r="E14" s="57"/>
      <c r="F14" s="57"/>
      <c r="G14" s="57"/>
      <c r="H14" s="57"/>
      <c r="I14" s="57"/>
      <c r="J14" s="52"/>
      <c r="K14" s="27"/>
      <c r="L14" s="27"/>
      <c r="M14" s="27"/>
      <c r="N14" s="27"/>
    </row>
    <row r="15" spans="1:14" hidden="1" x14ac:dyDescent="0.25">
      <c r="A15" s="10"/>
      <c r="C15" s="12">
        <v>1.04</v>
      </c>
    </row>
    <row r="16" spans="1:14" x14ac:dyDescent="0.25">
      <c r="A16" s="10"/>
    </row>
    <row r="17" spans="1:16" ht="18.75" x14ac:dyDescent="0.3">
      <c r="A17" s="59" t="s">
        <v>4</v>
      </c>
      <c r="B17" s="60">
        <v>1.3693</v>
      </c>
      <c r="C17" s="60">
        <f>+B17*0.05+B17</f>
        <v>1.437765</v>
      </c>
      <c r="D17" s="60">
        <f>C17*$C$15</f>
        <v>1.4952756</v>
      </c>
      <c r="E17" s="60">
        <f>D17*$E$2</f>
        <v>1.5401338680000001</v>
      </c>
      <c r="F17" s="60">
        <f>E17*$F$2</f>
        <v>1.6633445774400002</v>
      </c>
      <c r="G17" s="60">
        <f>+F17*$G$6</f>
        <v>1.7964121436352003</v>
      </c>
      <c r="H17" s="61">
        <v>3.2</v>
      </c>
      <c r="I17" s="32" t="s">
        <v>16</v>
      </c>
      <c r="J17" s="30" t="s">
        <v>154</v>
      </c>
      <c r="O17" s="28"/>
      <c r="P17" s="17"/>
    </row>
    <row r="18" spans="1:16" ht="18.75" hidden="1" x14ac:dyDescent="0.3">
      <c r="A18" s="30" t="s">
        <v>326</v>
      </c>
      <c r="B18" s="31">
        <v>0.73699999999999999</v>
      </c>
      <c r="C18" s="31">
        <f>+B18*0.05+B18</f>
        <v>0.77385000000000004</v>
      </c>
      <c r="D18" s="31">
        <f>C18*$C$15</f>
        <v>0.80480400000000007</v>
      </c>
      <c r="E18" s="31">
        <f>D18*$E$2</f>
        <v>0.82894812000000007</v>
      </c>
      <c r="F18" s="31">
        <f>E18*$F$2</f>
        <v>0.8952639696000001</v>
      </c>
      <c r="G18" s="31">
        <f>+F18*$G$6</f>
        <v>0.96688508716800015</v>
      </c>
      <c r="H18" s="31"/>
      <c r="I18" s="32" t="s">
        <v>16</v>
      </c>
      <c r="J18" s="30" t="s">
        <v>154</v>
      </c>
    </row>
    <row r="19" spans="1:16" ht="18.75" hidden="1" x14ac:dyDescent="0.3">
      <c r="A19" s="30" t="s">
        <v>6</v>
      </c>
      <c r="B19" s="33">
        <v>260</v>
      </c>
      <c r="C19" s="33">
        <f>+B19*0.05+B19</f>
        <v>273</v>
      </c>
      <c r="D19" s="33">
        <f>C19*$C$15</f>
        <v>283.92</v>
      </c>
      <c r="E19" s="33">
        <f>D19*$E$2</f>
        <v>292.43760000000003</v>
      </c>
      <c r="F19" s="34">
        <f>E19*$F$2</f>
        <v>315.83260800000005</v>
      </c>
      <c r="G19" s="34">
        <f>+F19*$G$6</f>
        <v>341.09921664000007</v>
      </c>
      <c r="H19" s="34"/>
      <c r="I19" s="32" t="s">
        <v>17</v>
      </c>
      <c r="J19" s="30" t="s">
        <v>157</v>
      </c>
    </row>
    <row r="20" spans="1:16" ht="18.75" hidden="1" x14ac:dyDescent="0.3">
      <c r="A20" s="32"/>
      <c r="B20" s="32"/>
      <c r="C20" s="33"/>
      <c r="D20" s="33"/>
      <c r="E20" s="33"/>
      <c r="F20" s="34"/>
      <c r="G20" s="34"/>
      <c r="H20" s="34"/>
      <c r="I20" s="30" t="s">
        <v>24</v>
      </c>
      <c r="J20" s="30"/>
    </row>
    <row r="21" spans="1:16" ht="18.75" hidden="1" x14ac:dyDescent="0.3">
      <c r="A21" s="32"/>
      <c r="B21" s="32"/>
      <c r="C21" s="33"/>
      <c r="D21" s="33"/>
      <c r="E21" s="33"/>
      <c r="F21" s="34"/>
      <c r="G21" s="34"/>
      <c r="H21" s="34"/>
      <c r="I21" s="30" t="s">
        <v>25</v>
      </c>
      <c r="J21" s="30"/>
    </row>
    <row r="22" spans="1:16" ht="18.75" hidden="1" x14ac:dyDescent="0.3">
      <c r="A22" s="32"/>
      <c r="B22" s="32"/>
      <c r="C22" s="33"/>
      <c r="D22" s="33"/>
      <c r="E22" s="33"/>
      <c r="F22" s="34"/>
      <c r="G22" s="34"/>
      <c r="H22" s="34"/>
      <c r="I22" s="30" t="s">
        <v>26</v>
      </c>
      <c r="J22" s="30"/>
    </row>
    <row r="23" spans="1:16" ht="18.75" hidden="1" x14ac:dyDescent="0.3">
      <c r="A23" s="32"/>
      <c r="B23" s="32"/>
      <c r="C23" s="33"/>
      <c r="D23" s="33"/>
      <c r="E23" s="33"/>
      <c r="F23" s="34"/>
      <c r="G23" s="34"/>
      <c r="H23" s="34"/>
      <c r="I23" s="30" t="s">
        <v>94</v>
      </c>
      <c r="J23" s="30"/>
    </row>
    <row r="24" spans="1:16" ht="37.5" hidden="1" x14ac:dyDescent="0.3">
      <c r="A24" s="35" t="s">
        <v>14</v>
      </c>
      <c r="B24" s="31">
        <v>0.217</v>
      </c>
      <c r="C24" s="31">
        <f>+B24*0.05+B24</f>
        <v>0.22785</v>
      </c>
      <c r="D24" s="31">
        <f>C24*$C$15</f>
        <v>0.23696400000000001</v>
      </c>
      <c r="E24" s="31">
        <f>D24*$E$2</f>
        <v>0.24407292000000003</v>
      </c>
      <c r="F24" s="31">
        <f>E24*$F$2</f>
        <v>0.26359875360000007</v>
      </c>
      <c r="G24" s="31">
        <f>+F24*$G$6</f>
        <v>0.28468665388800007</v>
      </c>
      <c r="H24" s="49"/>
      <c r="I24" s="32" t="s">
        <v>117</v>
      </c>
      <c r="J24" s="30" t="s">
        <v>165</v>
      </c>
    </row>
    <row r="25" spans="1:16" ht="18.75" hidden="1" x14ac:dyDescent="0.3">
      <c r="A25" s="35"/>
      <c r="B25" s="31"/>
      <c r="C25" s="31"/>
      <c r="D25" s="31"/>
      <c r="E25" s="31"/>
      <c r="F25" s="34"/>
      <c r="G25" s="34"/>
      <c r="H25" s="34"/>
      <c r="I25" s="32" t="s">
        <v>15</v>
      </c>
      <c r="J25" s="30"/>
    </row>
    <row r="26" spans="1:16" ht="57.75" hidden="1" customHeight="1" x14ac:dyDescent="0.3">
      <c r="A26" s="36"/>
      <c r="B26" s="32"/>
      <c r="C26" s="33"/>
      <c r="D26" s="33"/>
      <c r="E26" s="31"/>
      <c r="F26" s="34"/>
      <c r="G26" s="34"/>
      <c r="H26" s="34"/>
      <c r="I26" s="37" t="s">
        <v>28</v>
      </c>
      <c r="J26" s="30"/>
    </row>
    <row r="27" spans="1:16" ht="18.75" x14ac:dyDescent="0.3">
      <c r="A27" s="32" t="s">
        <v>18</v>
      </c>
      <c r="B27" s="33">
        <v>492</v>
      </c>
      <c r="C27" s="33">
        <f t="shared" ref="C27:C52" si="0">+B27*0.05+B27</f>
        <v>516.6</v>
      </c>
      <c r="D27" s="33">
        <f t="shared" ref="D27:D35" si="1">C27*$C$15</f>
        <v>537.26400000000001</v>
      </c>
      <c r="E27" s="33">
        <f>D27*$E$2</f>
        <v>553.38192000000004</v>
      </c>
      <c r="F27" s="34">
        <f t="shared" ref="F27:F52" si="2">E27*$F$2</f>
        <v>597.65247360000012</v>
      </c>
      <c r="G27" s="34">
        <f t="shared" ref="G27:G44" si="3">+F27*$G$6</f>
        <v>645.46467148800014</v>
      </c>
      <c r="H27" s="34">
        <f>+G27*$H$4</f>
        <v>677.73790506240016</v>
      </c>
      <c r="I27" s="32"/>
      <c r="J27" s="30" t="s">
        <v>164</v>
      </c>
    </row>
    <row r="28" spans="1:16" ht="18.75" x14ac:dyDescent="0.3">
      <c r="A28" s="30" t="s">
        <v>19</v>
      </c>
      <c r="B28" s="33">
        <v>613</v>
      </c>
      <c r="C28" s="33">
        <f t="shared" si="0"/>
        <v>643.65</v>
      </c>
      <c r="D28" s="33">
        <f t="shared" si="1"/>
        <v>669.39599999999996</v>
      </c>
      <c r="E28" s="33">
        <f t="shared" ref="E28:E35" si="4">D28*$E$2</f>
        <v>689.47788000000003</v>
      </c>
      <c r="F28" s="34">
        <f t="shared" si="2"/>
        <v>744.63611040000012</v>
      </c>
      <c r="G28" s="34">
        <f t="shared" si="3"/>
        <v>804.20699923200016</v>
      </c>
      <c r="H28" s="34">
        <f t="shared" ref="H28:H44" si="5">+G28*$H$4</f>
        <v>844.41734919360022</v>
      </c>
      <c r="I28" s="32"/>
      <c r="J28" s="30" t="s">
        <v>164</v>
      </c>
    </row>
    <row r="29" spans="1:16" ht="18.75" x14ac:dyDescent="0.3">
      <c r="A29" s="30" t="s">
        <v>95</v>
      </c>
      <c r="B29" s="33">
        <v>613</v>
      </c>
      <c r="C29" s="33">
        <f t="shared" si="0"/>
        <v>643.65</v>
      </c>
      <c r="D29" s="33">
        <f t="shared" si="1"/>
        <v>669.39599999999996</v>
      </c>
      <c r="E29" s="33">
        <f t="shared" si="4"/>
        <v>689.47788000000003</v>
      </c>
      <c r="F29" s="34">
        <f t="shared" si="2"/>
        <v>744.63611040000012</v>
      </c>
      <c r="G29" s="34">
        <f t="shared" si="3"/>
        <v>804.20699923200016</v>
      </c>
      <c r="H29" s="34">
        <f t="shared" si="5"/>
        <v>844.41734919360022</v>
      </c>
      <c r="I29" s="32"/>
      <c r="J29" s="30" t="s">
        <v>164</v>
      </c>
    </row>
    <row r="30" spans="1:16" ht="18.75" x14ac:dyDescent="0.3">
      <c r="A30" s="30" t="s">
        <v>20</v>
      </c>
      <c r="B30" s="33">
        <v>613</v>
      </c>
      <c r="C30" s="33">
        <f t="shared" si="0"/>
        <v>643.65</v>
      </c>
      <c r="D30" s="33">
        <f t="shared" si="1"/>
        <v>669.39599999999996</v>
      </c>
      <c r="E30" s="33">
        <f t="shared" si="4"/>
        <v>689.47788000000003</v>
      </c>
      <c r="F30" s="34">
        <f t="shared" si="2"/>
        <v>744.63611040000012</v>
      </c>
      <c r="G30" s="34">
        <f t="shared" si="3"/>
        <v>804.20699923200016</v>
      </c>
      <c r="H30" s="34">
        <f t="shared" si="5"/>
        <v>844.41734919360022</v>
      </c>
      <c r="I30" s="32"/>
      <c r="J30" s="30" t="s">
        <v>164</v>
      </c>
    </row>
    <row r="31" spans="1:16" ht="18.75" x14ac:dyDescent="0.3">
      <c r="A31" s="32" t="s">
        <v>105</v>
      </c>
      <c r="B31" s="33">
        <v>894</v>
      </c>
      <c r="C31" s="33">
        <f t="shared" si="0"/>
        <v>938.7</v>
      </c>
      <c r="D31" s="33">
        <f t="shared" si="1"/>
        <v>976.24800000000005</v>
      </c>
      <c r="E31" s="33">
        <f t="shared" si="4"/>
        <v>1005.5354400000001</v>
      </c>
      <c r="F31" s="34">
        <f t="shared" si="2"/>
        <v>1085.9782752000001</v>
      </c>
      <c r="G31" s="34">
        <f t="shared" si="3"/>
        <v>1172.8565372160001</v>
      </c>
      <c r="H31" s="34">
        <f t="shared" si="5"/>
        <v>1231.4993640768002</v>
      </c>
      <c r="I31" s="32"/>
      <c r="J31" s="30" t="s">
        <v>164</v>
      </c>
    </row>
    <row r="32" spans="1:16" ht="18.75" x14ac:dyDescent="0.3">
      <c r="A32" s="32" t="s">
        <v>22</v>
      </c>
      <c r="B32" s="33">
        <v>894</v>
      </c>
      <c r="C32" s="33">
        <f t="shared" si="0"/>
        <v>938.7</v>
      </c>
      <c r="D32" s="33">
        <f t="shared" si="1"/>
        <v>976.24800000000005</v>
      </c>
      <c r="E32" s="33">
        <f t="shared" si="4"/>
        <v>1005.5354400000001</v>
      </c>
      <c r="F32" s="34">
        <f t="shared" si="2"/>
        <v>1085.9782752000001</v>
      </c>
      <c r="G32" s="34">
        <f t="shared" si="3"/>
        <v>1172.8565372160001</v>
      </c>
      <c r="H32" s="34">
        <f t="shared" si="5"/>
        <v>1231.4993640768002</v>
      </c>
      <c r="I32" s="32"/>
      <c r="J32" s="30" t="s">
        <v>164</v>
      </c>
    </row>
    <row r="33" spans="1:14" ht="18.75" x14ac:dyDescent="0.3">
      <c r="A33" s="30" t="s">
        <v>116</v>
      </c>
      <c r="B33" s="33">
        <v>894</v>
      </c>
      <c r="C33" s="33">
        <f t="shared" si="0"/>
        <v>938.7</v>
      </c>
      <c r="D33" s="33">
        <f t="shared" si="1"/>
        <v>976.24800000000005</v>
      </c>
      <c r="E33" s="33">
        <f t="shared" si="4"/>
        <v>1005.5354400000001</v>
      </c>
      <c r="F33" s="34">
        <f t="shared" si="2"/>
        <v>1085.9782752000001</v>
      </c>
      <c r="G33" s="34">
        <f t="shared" si="3"/>
        <v>1172.8565372160001</v>
      </c>
      <c r="H33" s="34">
        <f t="shared" si="5"/>
        <v>1231.4993640768002</v>
      </c>
      <c r="I33" s="32"/>
      <c r="J33" s="30" t="s">
        <v>164</v>
      </c>
    </row>
    <row r="34" spans="1:14" ht="18.75" x14ac:dyDescent="0.3">
      <c r="A34" s="30" t="s">
        <v>29</v>
      </c>
      <c r="B34" s="33">
        <v>250</v>
      </c>
      <c r="C34" s="33">
        <f t="shared" si="0"/>
        <v>262.5</v>
      </c>
      <c r="D34" s="33">
        <f t="shared" si="1"/>
        <v>273</v>
      </c>
      <c r="E34" s="33">
        <f t="shared" si="4"/>
        <v>281.19</v>
      </c>
      <c r="F34" s="34">
        <f t="shared" si="2"/>
        <v>303.68520000000001</v>
      </c>
      <c r="G34" s="34">
        <f t="shared" si="3"/>
        <v>327.98001600000003</v>
      </c>
      <c r="H34" s="34">
        <f t="shared" si="5"/>
        <v>344.37901680000004</v>
      </c>
      <c r="I34" s="32"/>
      <c r="J34" s="30" t="s">
        <v>155</v>
      </c>
    </row>
    <row r="35" spans="1:14" ht="18.75" x14ac:dyDescent="0.3">
      <c r="A35" s="30" t="s">
        <v>98</v>
      </c>
      <c r="B35" s="33"/>
      <c r="C35" s="33">
        <v>115.5</v>
      </c>
      <c r="D35" s="33">
        <f t="shared" si="1"/>
        <v>120.12</v>
      </c>
      <c r="E35" s="33">
        <f t="shared" si="4"/>
        <v>123.7236</v>
      </c>
      <c r="F35" s="34">
        <f t="shared" si="2"/>
        <v>133.62148800000003</v>
      </c>
      <c r="G35" s="34">
        <f t="shared" si="3"/>
        <v>144.31120704000003</v>
      </c>
      <c r="H35" s="34">
        <f t="shared" si="5"/>
        <v>151.52676739200004</v>
      </c>
      <c r="I35" s="32"/>
      <c r="J35" s="30" t="s">
        <v>155</v>
      </c>
    </row>
    <row r="36" spans="1:14" ht="18.75" x14ac:dyDescent="0.3">
      <c r="A36" s="30" t="s">
        <v>30</v>
      </c>
      <c r="B36" s="33">
        <v>250</v>
      </c>
      <c r="C36" s="33">
        <f t="shared" si="0"/>
        <v>262.5</v>
      </c>
      <c r="D36" s="33">
        <v>580.36</v>
      </c>
      <c r="E36" s="33">
        <v>598.66</v>
      </c>
      <c r="F36" s="33">
        <v>642.75</v>
      </c>
      <c r="G36" s="33">
        <v>692.98</v>
      </c>
      <c r="H36" s="33">
        <v>725.25</v>
      </c>
      <c r="I36" s="32" t="s">
        <v>31</v>
      </c>
      <c r="J36" s="30" t="s">
        <v>192</v>
      </c>
    </row>
    <row r="37" spans="1:14" ht="18.75" x14ac:dyDescent="0.3">
      <c r="A37" s="30" t="s">
        <v>7</v>
      </c>
      <c r="B37" s="33">
        <v>280</v>
      </c>
      <c r="C37" s="33">
        <f t="shared" si="0"/>
        <v>294</v>
      </c>
      <c r="D37" s="33">
        <f>C37*$C$15</f>
        <v>305.76</v>
      </c>
      <c r="E37" s="33">
        <f>D37*$E$2</f>
        <v>314.93279999999999</v>
      </c>
      <c r="F37" s="34">
        <f t="shared" si="2"/>
        <v>340.12742400000002</v>
      </c>
      <c r="G37" s="34">
        <f t="shared" si="3"/>
        <v>367.33761792000007</v>
      </c>
      <c r="H37" s="34">
        <f t="shared" si="5"/>
        <v>385.70449881600007</v>
      </c>
      <c r="I37" s="32"/>
      <c r="J37" s="30" t="s">
        <v>193</v>
      </c>
    </row>
    <row r="38" spans="1:14" ht="18.75" x14ac:dyDescent="0.3">
      <c r="A38" s="30" t="s">
        <v>33</v>
      </c>
      <c r="B38" s="33">
        <v>250</v>
      </c>
      <c r="C38" s="33">
        <f t="shared" si="0"/>
        <v>262.5</v>
      </c>
      <c r="D38" s="33">
        <f>C38*$C$15</f>
        <v>273</v>
      </c>
      <c r="E38" s="33">
        <f>D38*$E$2</f>
        <v>281.19</v>
      </c>
      <c r="F38" s="34">
        <f t="shared" si="2"/>
        <v>303.68520000000001</v>
      </c>
      <c r="G38" s="34">
        <f t="shared" si="3"/>
        <v>327.98001600000003</v>
      </c>
      <c r="H38" s="34">
        <f t="shared" si="5"/>
        <v>344.37901680000004</v>
      </c>
      <c r="I38" s="32" t="s">
        <v>34</v>
      </c>
      <c r="J38" s="30" t="s">
        <v>158</v>
      </c>
    </row>
    <row r="39" spans="1:14" ht="18.75" x14ac:dyDescent="0.3">
      <c r="A39" s="38" t="s">
        <v>35</v>
      </c>
      <c r="B39" s="32"/>
      <c r="C39" s="33">
        <v>564.39</v>
      </c>
      <c r="D39" s="33">
        <v>580.36</v>
      </c>
      <c r="E39" s="33">
        <v>598.66</v>
      </c>
      <c r="F39" s="33">
        <v>642.75</v>
      </c>
      <c r="G39" s="33">
        <v>692.98</v>
      </c>
      <c r="H39" s="33">
        <v>725.25</v>
      </c>
      <c r="I39" s="32"/>
      <c r="J39" s="30" t="s">
        <v>159</v>
      </c>
      <c r="N39" s="10"/>
    </row>
    <row r="40" spans="1:14" ht="37.5" x14ac:dyDescent="0.3">
      <c r="A40" s="35" t="s">
        <v>106</v>
      </c>
      <c r="B40" s="33">
        <v>183</v>
      </c>
      <c r="C40" s="33">
        <f t="shared" si="0"/>
        <v>192.15</v>
      </c>
      <c r="D40" s="33">
        <v>250</v>
      </c>
      <c r="E40" s="33">
        <f t="shared" ref="E40:E52" si="6">D40*$E$2</f>
        <v>257.5</v>
      </c>
      <c r="F40" s="34">
        <f t="shared" si="2"/>
        <v>278.10000000000002</v>
      </c>
      <c r="G40" s="34">
        <f t="shared" si="3"/>
        <v>300.34800000000007</v>
      </c>
      <c r="H40" s="34">
        <f t="shared" si="5"/>
        <v>315.36540000000008</v>
      </c>
      <c r="I40" s="32"/>
      <c r="J40" s="30" t="s">
        <v>160</v>
      </c>
    </row>
    <row r="41" spans="1:14" ht="18.75" x14ac:dyDescent="0.3">
      <c r="A41" s="30" t="s">
        <v>178</v>
      </c>
      <c r="B41" s="33">
        <v>453</v>
      </c>
      <c r="C41" s="33">
        <f t="shared" si="0"/>
        <v>475.65</v>
      </c>
      <c r="D41" s="33">
        <v>500</v>
      </c>
      <c r="E41" s="33">
        <f t="shared" si="6"/>
        <v>515</v>
      </c>
      <c r="F41" s="34">
        <f t="shared" si="2"/>
        <v>556.20000000000005</v>
      </c>
      <c r="G41" s="34">
        <f t="shared" si="3"/>
        <v>600.69600000000014</v>
      </c>
      <c r="H41" s="34">
        <f t="shared" si="5"/>
        <v>630.73080000000016</v>
      </c>
      <c r="I41" s="32"/>
      <c r="J41" s="30" t="s">
        <v>162</v>
      </c>
    </row>
    <row r="42" spans="1:14" ht="18.75" x14ac:dyDescent="0.3">
      <c r="A42" s="62" t="s">
        <v>181</v>
      </c>
      <c r="B42" s="61">
        <v>251</v>
      </c>
      <c r="C42" s="61">
        <f t="shared" si="0"/>
        <v>263.55</v>
      </c>
      <c r="D42" s="61">
        <f t="shared" ref="D42:D44" si="7">C42*$C$15</f>
        <v>274.09200000000004</v>
      </c>
      <c r="E42" s="61">
        <f t="shared" si="6"/>
        <v>282.31476000000004</v>
      </c>
      <c r="F42" s="63">
        <f t="shared" si="2"/>
        <v>304.89994080000008</v>
      </c>
      <c r="G42" s="63">
        <f t="shared" si="3"/>
        <v>329.29193606400008</v>
      </c>
      <c r="H42" s="63">
        <f t="shared" si="5"/>
        <v>345.75653286720012</v>
      </c>
      <c r="I42" s="32"/>
      <c r="J42" s="30" t="s">
        <v>182</v>
      </c>
    </row>
    <row r="43" spans="1:14" ht="18.75" x14ac:dyDescent="0.3">
      <c r="A43" s="30" t="s">
        <v>96</v>
      </c>
      <c r="B43" s="33">
        <v>285</v>
      </c>
      <c r="C43" s="33">
        <f t="shared" si="0"/>
        <v>299.25</v>
      </c>
      <c r="D43" s="33">
        <f t="shared" si="7"/>
        <v>311.22000000000003</v>
      </c>
      <c r="E43" s="33">
        <f t="shared" si="6"/>
        <v>320.55660000000006</v>
      </c>
      <c r="F43" s="34">
        <f t="shared" si="2"/>
        <v>346.2011280000001</v>
      </c>
      <c r="G43" s="34">
        <f t="shared" si="3"/>
        <v>373.89721824000014</v>
      </c>
      <c r="H43" s="34">
        <f t="shared" si="5"/>
        <v>392.59207915200017</v>
      </c>
      <c r="I43" s="32"/>
      <c r="J43" s="30" t="s">
        <v>161</v>
      </c>
    </row>
    <row r="44" spans="1:14" ht="37.5" x14ac:dyDescent="0.3">
      <c r="A44" s="38" t="s">
        <v>318</v>
      </c>
      <c r="B44" s="33">
        <v>250</v>
      </c>
      <c r="C44" s="33">
        <f t="shared" si="0"/>
        <v>262.5</v>
      </c>
      <c r="D44" s="33">
        <f t="shared" si="7"/>
        <v>273</v>
      </c>
      <c r="E44" s="33">
        <f t="shared" si="6"/>
        <v>281.19</v>
      </c>
      <c r="F44" s="34">
        <f t="shared" si="2"/>
        <v>303.68520000000001</v>
      </c>
      <c r="G44" s="34">
        <f t="shared" si="3"/>
        <v>327.98001600000003</v>
      </c>
      <c r="H44" s="34">
        <f t="shared" si="5"/>
        <v>344.37901680000004</v>
      </c>
      <c r="I44" s="32"/>
      <c r="J44" s="30" t="s">
        <v>163</v>
      </c>
    </row>
    <row r="45" spans="1:14" ht="18.75" x14ac:dyDescent="0.3">
      <c r="A45" s="38"/>
      <c r="B45" s="33"/>
      <c r="C45" s="33"/>
      <c r="D45" s="33"/>
      <c r="E45" s="33"/>
      <c r="F45" s="34"/>
      <c r="G45" s="34"/>
      <c r="H45" s="34"/>
      <c r="I45" s="32"/>
      <c r="J45" s="30"/>
    </row>
    <row r="46" spans="1:14" ht="18.75" hidden="1" x14ac:dyDescent="0.3">
      <c r="A46" s="32" t="s">
        <v>8</v>
      </c>
      <c r="B46" s="33">
        <v>173</v>
      </c>
      <c r="C46" s="33">
        <f t="shared" si="0"/>
        <v>181.65</v>
      </c>
      <c r="D46" s="33">
        <f t="shared" ref="D46:D52" si="8">C46*$C$15</f>
        <v>188.91600000000003</v>
      </c>
      <c r="E46" s="33">
        <f t="shared" si="6"/>
        <v>194.58348000000004</v>
      </c>
      <c r="F46" s="34">
        <f t="shared" si="2"/>
        <v>210.15015840000007</v>
      </c>
      <c r="G46" s="34">
        <f t="shared" ref="G46:G52" si="9">+F46*$G$6</f>
        <v>226.96217107200007</v>
      </c>
      <c r="H46" s="34">
        <f t="shared" ref="H46:H52" si="10">+G46*$H$4</f>
        <v>238.31027962560009</v>
      </c>
      <c r="I46" s="32" t="s">
        <v>93</v>
      </c>
      <c r="J46" s="30"/>
    </row>
    <row r="47" spans="1:14" ht="18.75" hidden="1" x14ac:dyDescent="0.3">
      <c r="A47" s="32" t="s">
        <v>9</v>
      </c>
      <c r="B47" s="33">
        <v>127</v>
      </c>
      <c r="C47" s="33">
        <f t="shared" si="0"/>
        <v>133.35</v>
      </c>
      <c r="D47" s="33">
        <f t="shared" si="8"/>
        <v>138.684</v>
      </c>
      <c r="E47" s="33">
        <f t="shared" si="6"/>
        <v>142.84451999999999</v>
      </c>
      <c r="F47" s="34">
        <f t="shared" si="2"/>
        <v>154.27208160000001</v>
      </c>
      <c r="G47" s="34">
        <f t="shared" si="9"/>
        <v>166.61384812800003</v>
      </c>
      <c r="H47" s="34">
        <f t="shared" si="10"/>
        <v>174.94454053440003</v>
      </c>
      <c r="I47" s="32" t="s">
        <v>93</v>
      </c>
      <c r="J47" s="30"/>
    </row>
    <row r="48" spans="1:14" ht="18.75" hidden="1" x14ac:dyDescent="0.3">
      <c r="A48" s="32" t="s">
        <v>10</v>
      </c>
      <c r="B48" s="33">
        <v>314</v>
      </c>
      <c r="C48" s="33">
        <f t="shared" si="0"/>
        <v>329.7</v>
      </c>
      <c r="D48" s="33">
        <f t="shared" si="8"/>
        <v>342.88799999999998</v>
      </c>
      <c r="E48" s="33">
        <f t="shared" si="6"/>
        <v>353.17464000000001</v>
      </c>
      <c r="F48" s="34">
        <f t="shared" si="2"/>
        <v>381.42861120000003</v>
      </c>
      <c r="G48" s="34">
        <f t="shared" si="9"/>
        <v>411.94290009600007</v>
      </c>
      <c r="H48" s="34">
        <f t="shared" si="10"/>
        <v>432.54004510080011</v>
      </c>
      <c r="I48" s="32" t="s">
        <v>93</v>
      </c>
      <c r="J48" s="30"/>
    </row>
    <row r="49" spans="1:13" ht="18.75" hidden="1" x14ac:dyDescent="0.3">
      <c r="A49" s="32" t="s">
        <v>11</v>
      </c>
      <c r="B49" s="33">
        <v>188</v>
      </c>
      <c r="C49" s="33">
        <f t="shared" si="0"/>
        <v>197.4</v>
      </c>
      <c r="D49" s="33">
        <f t="shared" si="8"/>
        <v>205.29600000000002</v>
      </c>
      <c r="E49" s="33">
        <f t="shared" si="6"/>
        <v>211.45488000000003</v>
      </c>
      <c r="F49" s="34">
        <f t="shared" si="2"/>
        <v>228.37127040000004</v>
      </c>
      <c r="G49" s="34">
        <f t="shared" si="9"/>
        <v>246.64097203200006</v>
      </c>
      <c r="H49" s="34">
        <f t="shared" si="10"/>
        <v>258.97302063360007</v>
      </c>
      <c r="I49" s="32" t="s">
        <v>93</v>
      </c>
      <c r="J49" s="30"/>
    </row>
    <row r="50" spans="1:13" ht="18.75" hidden="1" x14ac:dyDescent="0.3">
      <c r="A50" s="32" t="s">
        <v>47</v>
      </c>
      <c r="B50" s="33">
        <v>125</v>
      </c>
      <c r="C50" s="33">
        <f t="shared" si="0"/>
        <v>131.25</v>
      </c>
      <c r="D50" s="33">
        <f t="shared" si="8"/>
        <v>136.5</v>
      </c>
      <c r="E50" s="33">
        <f t="shared" si="6"/>
        <v>140.595</v>
      </c>
      <c r="F50" s="34">
        <f t="shared" si="2"/>
        <v>151.8426</v>
      </c>
      <c r="G50" s="34">
        <f t="shared" si="9"/>
        <v>163.99000800000002</v>
      </c>
      <c r="H50" s="34">
        <f t="shared" si="10"/>
        <v>172.18950840000002</v>
      </c>
      <c r="I50" s="32" t="s">
        <v>93</v>
      </c>
      <c r="J50" s="30"/>
    </row>
    <row r="51" spans="1:13" ht="18.75" hidden="1" x14ac:dyDescent="0.3">
      <c r="A51" s="30" t="s">
        <v>48</v>
      </c>
      <c r="B51" s="33">
        <v>125</v>
      </c>
      <c r="C51" s="33">
        <f t="shared" si="0"/>
        <v>131.25</v>
      </c>
      <c r="D51" s="33">
        <f t="shared" si="8"/>
        <v>136.5</v>
      </c>
      <c r="E51" s="33">
        <f t="shared" si="6"/>
        <v>140.595</v>
      </c>
      <c r="F51" s="34">
        <f t="shared" si="2"/>
        <v>151.8426</v>
      </c>
      <c r="G51" s="34">
        <f t="shared" si="9"/>
        <v>163.99000800000002</v>
      </c>
      <c r="H51" s="34">
        <f t="shared" si="10"/>
        <v>172.18950840000002</v>
      </c>
      <c r="I51" s="32" t="s">
        <v>93</v>
      </c>
      <c r="J51" s="30"/>
    </row>
    <row r="52" spans="1:13" ht="18.75" hidden="1" x14ac:dyDescent="0.3">
      <c r="A52" s="30" t="s">
        <v>12</v>
      </c>
      <c r="B52" s="33">
        <v>313</v>
      </c>
      <c r="C52" s="33">
        <f t="shared" si="0"/>
        <v>328.65</v>
      </c>
      <c r="D52" s="33">
        <f t="shared" si="8"/>
        <v>341.79599999999999</v>
      </c>
      <c r="E52" s="33">
        <f t="shared" si="6"/>
        <v>352.04987999999997</v>
      </c>
      <c r="F52" s="34">
        <f t="shared" si="2"/>
        <v>380.21387040000002</v>
      </c>
      <c r="G52" s="34">
        <f t="shared" si="9"/>
        <v>410.63098003200002</v>
      </c>
      <c r="H52" s="34">
        <f t="shared" si="10"/>
        <v>431.16252903360004</v>
      </c>
      <c r="I52" s="32" t="s">
        <v>93</v>
      </c>
      <c r="J52" s="30"/>
    </row>
    <row r="53" spans="1:13" ht="20.25" x14ac:dyDescent="0.25">
      <c r="A53" s="54" t="s">
        <v>1</v>
      </c>
      <c r="B53" s="54"/>
      <c r="C53" s="54"/>
      <c r="D53" s="54"/>
      <c r="E53" s="54"/>
      <c r="F53" s="54"/>
      <c r="G53" s="54"/>
      <c r="H53" s="54"/>
      <c r="I53" s="54"/>
      <c r="J53" s="54"/>
    </row>
    <row r="54" spans="1:13" hidden="1" x14ac:dyDescent="0.25">
      <c r="A54" s="10"/>
      <c r="C54" s="13"/>
      <c r="D54" s="13"/>
      <c r="E54" s="13"/>
      <c r="F54" s="18"/>
      <c r="G54" s="18"/>
      <c r="H54" s="18"/>
    </row>
    <row r="55" spans="1:13" x14ac:dyDescent="0.25">
      <c r="A55" s="10"/>
      <c r="C55" s="13"/>
      <c r="D55" s="13"/>
      <c r="E55" s="13"/>
      <c r="F55" s="18"/>
      <c r="G55" s="18"/>
      <c r="H55" s="18"/>
    </row>
    <row r="56" spans="1:13" ht="18.75" x14ac:dyDescent="0.3">
      <c r="A56" s="64" t="s">
        <v>49</v>
      </c>
      <c r="B56" s="60">
        <v>1.2543</v>
      </c>
      <c r="C56" s="60">
        <f t="shared" ref="C56:C104" si="11">+B56*0.05+B56</f>
        <v>1.317015</v>
      </c>
      <c r="D56" s="60">
        <f>C56*$C$15</f>
        <v>1.3696956</v>
      </c>
      <c r="E56" s="60">
        <f t="shared" ref="E56:E64" si="12">D56*$E$2</f>
        <v>1.410786468</v>
      </c>
      <c r="F56" s="60">
        <f>E56*$F$2</f>
        <v>1.5236493854399999</v>
      </c>
      <c r="G56" s="60">
        <f t="shared" ref="G56:G65" si="13">+F56*$G$6</f>
        <v>1.6455413362752001</v>
      </c>
      <c r="H56" s="61">
        <v>2.66</v>
      </c>
      <c r="I56" s="32"/>
      <c r="J56" s="30" t="s">
        <v>155</v>
      </c>
    </row>
    <row r="57" spans="1:13" ht="37.5" hidden="1" x14ac:dyDescent="0.3">
      <c r="A57" s="38" t="s">
        <v>331</v>
      </c>
      <c r="B57" s="31">
        <v>0.67549999999999999</v>
      </c>
      <c r="C57" s="31">
        <f t="shared" si="11"/>
        <v>0.70927499999999999</v>
      </c>
      <c r="D57" s="31">
        <f>C57*$C$15</f>
        <v>0.73764600000000002</v>
      </c>
      <c r="E57" s="31">
        <f t="shared" si="12"/>
        <v>0.75977538</v>
      </c>
      <c r="F57" s="31">
        <f>E57*$F$2</f>
        <v>0.82055741040000008</v>
      </c>
      <c r="G57" s="31">
        <f t="shared" si="13"/>
        <v>0.88620200323200016</v>
      </c>
      <c r="H57" s="31"/>
      <c r="I57" s="32"/>
      <c r="J57" s="39" t="s">
        <v>155</v>
      </c>
    </row>
    <row r="58" spans="1:13" ht="18.75" x14ac:dyDescent="0.3">
      <c r="A58" s="32" t="s">
        <v>96</v>
      </c>
      <c r="B58" s="33">
        <v>285</v>
      </c>
      <c r="C58" s="33">
        <f t="shared" si="11"/>
        <v>299.25</v>
      </c>
      <c r="D58" s="33">
        <f>C58*$C$15</f>
        <v>311.22000000000003</v>
      </c>
      <c r="E58" s="33">
        <f t="shared" si="12"/>
        <v>320.55660000000006</v>
      </c>
      <c r="F58" s="34">
        <f t="shared" ref="F58:F65" si="14">E58*$F$2</f>
        <v>346.2011280000001</v>
      </c>
      <c r="G58" s="34">
        <f t="shared" si="13"/>
        <v>373.89721824000014</v>
      </c>
      <c r="H58" s="34">
        <f t="shared" ref="H58:H65" si="15">+G58*$H$4</f>
        <v>392.59207915200017</v>
      </c>
      <c r="I58" s="32"/>
      <c r="J58" s="30" t="s">
        <v>161</v>
      </c>
    </row>
    <row r="59" spans="1:13" ht="18.75" x14ac:dyDescent="0.3">
      <c r="A59" s="30" t="s">
        <v>332</v>
      </c>
      <c r="B59" s="33">
        <v>453</v>
      </c>
      <c r="C59" s="33">
        <f t="shared" si="11"/>
        <v>475.65</v>
      </c>
      <c r="D59" s="33">
        <v>500</v>
      </c>
      <c r="E59" s="33">
        <f t="shared" si="12"/>
        <v>515</v>
      </c>
      <c r="F59" s="34">
        <f t="shared" si="14"/>
        <v>556.20000000000005</v>
      </c>
      <c r="G59" s="34">
        <f t="shared" si="13"/>
        <v>600.69600000000014</v>
      </c>
      <c r="H59" s="34">
        <f t="shared" si="15"/>
        <v>630.73080000000016</v>
      </c>
      <c r="I59" s="32"/>
      <c r="J59" s="30" t="s">
        <v>162</v>
      </c>
    </row>
    <row r="60" spans="1:13" ht="18.75" x14ac:dyDescent="0.3">
      <c r="A60" s="32" t="s">
        <v>97</v>
      </c>
      <c r="B60" s="33">
        <v>250</v>
      </c>
      <c r="C60" s="33">
        <f t="shared" si="11"/>
        <v>262.5</v>
      </c>
      <c r="D60" s="33">
        <f t="shared" ref="D60:D65" si="16">C60*$C$15</f>
        <v>273</v>
      </c>
      <c r="E60" s="33">
        <f t="shared" si="12"/>
        <v>281.19</v>
      </c>
      <c r="F60" s="34">
        <f t="shared" si="14"/>
        <v>303.68520000000001</v>
      </c>
      <c r="G60" s="34">
        <f t="shared" si="13"/>
        <v>327.98001600000003</v>
      </c>
      <c r="H60" s="34">
        <f t="shared" si="15"/>
        <v>344.37901680000004</v>
      </c>
      <c r="I60" s="32"/>
      <c r="J60" s="30" t="s">
        <v>166</v>
      </c>
    </row>
    <row r="61" spans="1:13" ht="18.75" x14ac:dyDescent="0.3">
      <c r="A61" s="32" t="s">
        <v>118</v>
      </c>
      <c r="B61" s="33">
        <v>933</v>
      </c>
      <c r="C61" s="33">
        <f t="shared" si="11"/>
        <v>979.65</v>
      </c>
      <c r="D61" s="33">
        <f t="shared" si="16"/>
        <v>1018.836</v>
      </c>
      <c r="E61" s="33">
        <f t="shared" si="12"/>
        <v>1049.4010800000001</v>
      </c>
      <c r="F61" s="34">
        <f t="shared" si="14"/>
        <v>1133.3531664000002</v>
      </c>
      <c r="G61" s="34">
        <f t="shared" si="13"/>
        <v>1224.0214197120004</v>
      </c>
      <c r="H61" s="34">
        <f t="shared" si="15"/>
        <v>1285.2224906976005</v>
      </c>
      <c r="I61" s="32"/>
      <c r="J61" s="30" t="s">
        <v>166</v>
      </c>
    </row>
    <row r="62" spans="1:13" ht="18.75" x14ac:dyDescent="0.3">
      <c r="A62" s="30" t="s">
        <v>98</v>
      </c>
      <c r="B62" s="33">
        <v>110</v>
      </c>
      <c r="C62" s="33">
        <f t="shared" si="11"/>
        <v>115.5</v>
      </c>
      <c r="D62" s="33">
        <f t="shared" si="16"/>
        <v>120.12</v>
      </c>
      <c r="E62" s="33">
        <f t="shared" si="12"/>
        <v>123.7236</v>
      </c>
      <c r="F62" s="34">
        <f t="shared" si="14"/>
        <v>133.62148800000003</v>
      </c>
      <c r="G62" s="34">
        <f t="shared" si="13"/>
        <v>144.31120704000003</v>
      </c>
      <c r="H62" s="34">
        <f t="shared" si="15"/>
        <v>151.52676739200004</v>
      </c>
      <c r="I62" s="32"/>
      <c r="J62" s="30" t="s">
        <v>166</v>
      </c>
    </row>
    <row r="63" spans="1:13" ht="18.75" x14ac:dyDescent="0.3">
      <c r="A63" s="30" t="s">
        <v>99</v>
      </c>
      <c r="B63" s="33">
        <v>280</v>
      </c>
      <c r="C63" s="33">
        <f t="shared" si="11"/>
        <v>294</v>
      </c>
      <c r="D63" s="33">
        <f t="shared" si="16"/>
        <v>305.76</v>
      </c>
      <c r="E63" s="33">
        <f t="shared" si="12"/>
        <v>314.93279999999999</v>
      </c>
      <c r="F63" s="34">
        <f t="shared" si="14"/>
        <v>340.12742400000002</v>
      </c>
      <c r="G63" s="34">
        <f t="shared" si="13"/>
        <v>367.33761792000007</v>
      </c>
      <c r="H63" s="34">
        <f t="shared" si="15"/>
        <v>385.70449881600007</v>
      </c>
      <c r="I63" s="32"/>
      <c r="J63" s="30" t="s">
        <v>167</v>
      </c>
    </row>
    <row r="64" spans="1:13" ht="18.75" x14ac:dyDescent="0.3">
      <c r="A64" s="30" t="s">
        <v>100</v>
      </c>
      <c r="B64" s="33">
        <v>280</v>
      </c>
      <c r="C64" s="33">
        <f t="shared" si="11"/>
        <v>294</v>
      </c>
      <c r="D64" s="33">
        <f t="shared" si="16"/>
        <v>305.76</v>
      </c>
      <c r="E64" s="33">
        <f t="shared" si="12"/>
        <v>314.93279999999999</v>
      </c>
      <c r="F64" s="34">
        <f t="shared" si="14"/>
        <v>340.12742400000002</v>
      </c>
      <c r="G64" s="34">
        <f t="shared" si="13"/>
        <v>367.33761792000007</v>
      </c>
      <c r="H64" s="34">
        <f t="shared" si="15"/>
        <v>385.70449881600007</v>
      </c>
      <c r="I64" s="32"/>
      <c r="J64" s="30" t="s">
        <v>168</v>
      </c>
      <c r="K64" s="11"/>
      <c r="L64" s="11"/>
      <c r="M64" s="11"/>
    </row>
    <row r="65" spans="1:13" ht="18.75" x14ac:dyDescent="0.3">
      <c r="A65" s="30" t="s">
        <v>101</v>
      </c>
      <c r="B65" s="33">
        <v>280</v>
      </c>
      <c r="C65" s="33">
        <f t="shared" si="11"/>
        <v>294</v>
      </c>
      <c r="D65" s="33">
        <f t="shared" si="16"/>
        <v>305.76</v>
      </c>
      <c r="E65" s="33">
        <f>D65*$E$2</f>
        <v>314.93279999999999</v>
      </c>
      <c r="F65" s="34">
        <f t="shared" si="14"/>
        <v>340.12742400000002</v>
      </c>
      <c r="G65" s="34">
        <f t="shared" si="13"/>
        <v>367.33761792000007</v>
      </c>
      <c r="H65" s="34">
        <f t="shared" si="15"/>
        <v>385.70449881600007</v>
      </c>
      <c r="I65" s="32"/>
      <c r="J65" s="30" t="s">
        <v>170</v>
      </c>
    </row>
    <row r="66" spans="1:13" ht="18.75" x14ac:dyDescent="0.3">
      <c r="A66" s="30"/>
      <c r="B66" s="32"/>
      <c r="C66" s="33"/>
      <c r="D66" s="33"/>
      <c r="E66" s="33"/>
      <c r="F66" s="34"/>
      <c r="G66" s="34"/>
      <c r="H66" s="34"/>
      <c r="I66" s="32"/>
      <c r="J66" s="30"/>
    </row>
    <row r="67" spans="1:13" ht="18.75" x14ac:dyDescent="0.3">
      <c r="A67" s="30"/>
      <c r="B67" s="32"/>
      <c r="C67" s="33"/>
      <c r="D67" s="33"/>
      <c r="E67" s="33"/>
      <c r="F67" s="34"/>
      <c r="G67" s="34"/>
      <c r="H67" s="34"/>
      <c r="I67" s="32"/>
      <c r="J67" s="30"/>
    </row>
    <row r="68" spans="1:13" ht="20.25" x14ac:dyDescent="0.25">
      <c r="A68" s="54" t="s">
        <v>188</v>
      </c>
      <c r="B68" s="54"/>
      <c r="C68" s="54"/>
      <c r="D68" s="54"/>
      <c r="E68" s="54"/>
      <c r="F68" s="54"/>
      <c r="G68" s="54"/>
      <c r="H68" s="54"/>
      <c r="I68" s="54"/>
      <c r="J68" s="54"/>
    </row>
    <row r="69" spans="1:13" x14ac:dyDescent="0.25">
      <c r="A69" s="10"/>
      <c r="C69" s="11"/>
      <c r="D69" s="11"/>
      <c r="E69" s="11"/>
      <c r="F69" s="18"/>
      <c r="G69" s="18"/>
      <c r="H69" s="18"/>
    </row>
    <row r="70" spans="1:13" ht="18.75" x14ac:dyDescent="0.3">
      <c r="A70" s="59" t="s">
        <v>58</v>
      </c>
      <c r="B70" s="60">
        <v>1.7482</v>
      </c>
      <c r="C70" s="60">
        <f t="shared" si="11"/>
        <v>1.83561</v>
      </c>
      <c r="D70" s="60">
        <f>C70*$C$15</f>
        <v>1.9090344000000001</v>
      </c>
      <c r="E70" s="60">
        <f>D70*$E$2</f>
        <v>1.9663054320000002</v>
      </c>
      <c r="F70" s="60">
        <f t="shared" ref="F70:F104" si="17">E70*$F$2</f>
        <v>2.1236098665600003</v>
      </c>
      <c r="G70" s="60">
        <f t="shared" ref="G70:G80" si="18">+F70*$G$6</f>
        <v>2.2934986558848003</v>
      </c>
      <c r="H70" s="61">
        <v>4.08</v>
      </c>
      <c r="I70" s="32" t="s">
        <v>56</v>
      </c>
      <c r="J70" s="30" t="s">
        <v>156</v>
      </c>
      <c r="K70" s="29"/>
      <c r="L70" s="29"/>
      <c r="M70" s="29"/>
    </row>
    <row r="71" spans="1:13" ht="37.5" hidden="1" x14ac:dyDescent="0.3">
      <c r="A71" s="65" t="s">
        <v>327</v>
      </c>
      <c r="B71" s="60">
        <v>1.2148000000000001</v>
      </c>
      <c r="C71" s="60">
        <f t="shared" si="11"/>
        <v>1.2755400000000001</v>
      </c>
      <c r="D71" s="60">
        <f>C71*$C$15</f>
        <v>1.3265616000000002</v>
      </c>
      <c r="E71" s="60">
        <f>D71*$E$2</f>
        <v>1.3663584480000002</v>
      </c>
      <c r="F71" s="60">
        <f t="shared" si="17"/>
        <v>1.4756671238400003</v>
      </c>
      <c r="G71" s="60">
        <f t="shared" si="18"/>
        <v>1.5937204937472005</v>
      </c>
      <c r="H71" s="60">
        <f t="shared" ref="H71:H80" si="19">+G71*$H$4</f>
        <v>1.6734065184345606</v>
      </c>
      <c r="I71" s="32" t="s">
        <v>56</v>
      </c>
      <c r="J71" s="30" t="s">
        <v>156</v>
      </c>
      <c r="K71" s="29"/>
      <c r="L71" s="29"/>
      <c r="M71" s="29"/>
    </row>
    <row r="72" spans="1:13" ht="6.75" customHeight="1" x14ac:dyDescent="0.3">
      <c r="A72" s="59"/>
      <c r="B72" s="64"/>
      <c r="C72" s="60"/>
      <c r="D72" s="60"/>
      <c r="E72" s="60"/>
      <c r="F72" s="60"/>
      <c r="G72" s="60"/>
      <c r="H72" s="60"/>
      <c r="I72" s="32"/>
      <c r="J72" s="30"/>
    </row>
    <row r="73" spans="1:13" ht="18.75" x14ac:dyDescent="0.3">
      <c r="A73" s="59" t="s">
        <v>60</v>
      </c>
      <c r="B73" s="60">
        <v>1.3150999999999999</v>
      </c>
      <c r="C73" s="60">
        <f t="shared" si="11"/>
        <v>1.3808549999999999</v>
      </c>
      <c r="D73" s="60">
        <f>C73*$C$15</f>
        <v>1.4360892000000001</v>
      </c>
      <c r="E73" s="60">
        <f>D73*$E$2</f>
        <v>1.4791718760000001</v>
      </c>
      <c r="F73" s="60">
        <f t="shared" si="17"/>
        <v>1.5975056260800002</v>
      </c>
      <c r="G73" s="60">
        <f t="shared" si="18"/>
        <v>1.7253060761664003</v>
      </c>
      <c r="H73" s="61">
        <v>3.07</v>
      </c>
      <c r="I73" s="32" t="s">
        <v>56</v>
      </c>
      <c r="J73" s="30" t="s">
        <v>156</v>
      </c>
    </row>
    <row r="74" spans="1:13" ht="37.5" hidden="1" x14ac:dyDescent="0.3">
      <c r="A74" s="65" t="s">
        <v>328</v>
      </c>
      <c r="B74" s="60">
        <v>0.91379999999999995</v>
      </c>
      <c r="C74" s="60">
        <f t="shared" si="11"/>
        <v>0.95948999999999995</v>
      </c>
      <c r="D74" s="60">
        <f>C74*$C$15</f>
        <v>0.99786960000000002</v>
      </c>
      <c r="E74" s="60">
        <f>D74*$E$2</f>
        <v>1.0278056879999999</v>
      </c>
      <c r="F74" s="60">
        <f t="shared" si="17"/>
        <v>1.1100301430399999</v>
      </c>
      <c r="G74" s="60">
        <f t="shared" si="18"/>
        <v>1.1988325544831999</v>
      </c>
      <c r="H74" s="60">
        <f t="shared" si="19"/>
        <v>1.2587741822073599</v>
      </c>
      <c r="I74" s="32" t="s">
        <v>56</v>
      </c>
      <c r="J74" s="30" t="s">
        <v>156</v>
      </c>
    </row>
    <row r="75" spans="1:13" ht="6.75" customHeight="1" x14ac:dyDescent="0.3">
      <c r="A75" s="59"/>
      <c r="B75" s="64"/>
      <c r="C75" s="60"/>
      <c r="D75" s="60"/>
      <c r="E75" s="60"/>
      <c r="F75" s="60"/>
      <c r="G75" s="60"/>
      <c r="H75" s="60"/>
      <c r="I75" s="32"/>
      <c r="J75" s="30"/>
    </row>
    <row r="76" spans="1:13" ht="18.75" x14ac:dyDescent="0.3">
      <c r="A76" s="59" t="s">
        <v>62</v>
      </c>
      <c r="B76" s="60">
        <v>2.081</v>
      </c>
      <c r="C76" s="60">
        <f t="shared" si="11"/>
        <v>2.1850499999999999</v>
      </c>
      <c r="D76" s="60">
        <f>C76*$C$15</f>
        <v>2.2724519999999999</v>
      </c>
      <c r="E76" s="60">
        <f>D76*$E$2</f>
        <v>2.3406255599999999</v>
      </c>
      <c r="F76" s="60">
        <f t="shared" si="17"/>
        <v>2.5278756048000002</v>
      </c>
      <c r="G76" s="60">
        <f t="shared" si="18"/>
        <v>2.7301056531840002</v>
      </c>
      <c r="H76" s="61">
        <v>4.8600000000000003</v>
      </c>
      <c r="I76" s="32" t="s">
        <v>56</v>
      </c>
      <c r="J76" s="30" t="s">
        <v>156</v>
      </c>
    </row>
    <row r="77" spans="1:13" ht="37.5" hidden="1" x14ac:dyDescent="0.3">
      <c r="A77" s="65" t="s">
        <v>329</v>
      </c>
      <c r="B77" s="60">
        <v>1.4461999999999999</v>
      </c>
      <c r="C77" s="60">
        <f t="shared" si="11"/>
        <v>1.51851</v>
      </c>
      <c r="D77" s="60">
        <f>C77*$C$15</f>
        <v>1.5792504000000001</v>
      </c>
      <c r="E77" s="60">
        <f>D77*$E$2</f>
        <v>1.626627912</v>
      </c>
      <c r="F77" s="60">
        <f t="shared" si="17"/>
        <v>1.75675814496</v>
      </c>
      <c r="G77" s="60">
        <f t="shared" si="18"/>
        <v>1.8972987965568002</v>
      </c>
      <c r="H77" s="60">
        <f t="shared" si="19"/>
        <v>1.9921637363846403</v>
      </c>
      <c r="I77" s="32" t="s">
        <v>56</v>
      </c>
      <c r="J77" s="30" t="s">
        <v>156</v>
      </c>
    </row>
    <row r="78" spans="1:13" ht="5.25" customHeight="1" x14ac:dyDescent="0.3">
      <c r="A78" s="59"/>
      <c r="B78" s="64"/>
      <c r="C78" s="60"/>
      <c r="D78" s="60"/>
      <c r="E78" s="60"/>
      <c r="F78" s="60"/>
      <c r="G78" s="60"/>
      <c r="H78" s="60"/>
      <c r="I78" s="32"/>
      <c r="J78" s="30"/>
    </row>
    <row r="79" spans="1:13" ht="18.75" x14ac:dyDescent="0.3">
      <c r="A79" s="59" t="s">
        <v>64</v>
      </c>
      <c r="B79" s="60">
        <v>1.5981000000000001</v>
      </c>
      <c r="C79" s="60">
        <f t="shared" si="11"/>
        <v>1.6780050000000002</v>
      </c>
      <c r="D79" s="60">
        <f>C79*$C$15</f>
        <v>1.7451252000000002</v>
      </c>
      <c r="E79" s="60">
        <f>D79*$E$2</f>
        <v>1.7974789560000002</v>
      </c>
      <c r="F79" s="60">
        <f t="shared" si="17"/>
        <v>1.9412772724800003</v>
      </c>
      <c r="G79" s="60">
        <f t="shared" si="18"/>
        <v>2.0965794542784004</v>
      </c>
      <c r="H79" s="61">
        <v>3.73</v>
      </c>
      <c r="I79" s="32" t="s">
        <v>56</v>
      </c>
      <c r="J79" s="30" t="s">
        <v>156</v>
      </c>
    </row>
    <row r="80" spans="1:13" ht="37.5" hidden="1" x14ac:dyDescent="0.3">
      <c r="A80" s="35" t="s">
        <v>330</v>
      </c>
      <c r="B80" s="31">
        <v>1.1106</v>
      </c>
      <c r="C80" s="31">
        <f t="shared" si="11"/>
        <v>1.1661300000000001</v>
      </c>
      <c r="D80" s="31">
        <f>C80*$C$15</f>
        <v>1.2127752000000001</v>
      </c>
      <c r="E80" s="31">
        <f>D80*$E$2</f>
        <v>1.2491584560000002</v>
      </c>
      <c r="F80" s="31">
        <f t="shared" si="17"/>
        <v>1.3490911324800003</v>
      </c>
      <c r="G80" s="31">
        <f t="shared" si="18"/>
        <v>1.4570184230784005</v>
      </c>
      <c r="H80" s="31">
        <f t="shared" si="19"/>
        <v>1.5298693442323206</v>
      </c>
      <c r="I80" s="32" t="s">
        <v>56</v>
      </c>
      <c r="J80" s="30" t="s">
        <v>156</v>
      </c>
    </row>
    <row r="81" spans="1:10" x14ac:dyDescent="0.25">
      <c r="A81" s="10"/>
      <c r="C81" s="11"/>
      <c r="D81" s="11"/>
      <c r="E81" s="11"/>
      <c r="F81" s="18"/>
      <c r="G81" s="18"/>
      <c r="H81" s="18"/>
    </row>
    <row r="82" spans="1:10" x14ac:dyDescent="0.25">
      <c r="A82" s="10"/>
      <c r="C82" s="11"/>
      <c r="D82" s="11"/>
      <c r="E82" s="11"/>
      <c r="F82" s="18"/>
      <c r="G82" s="18"/>
      <c r="H82" s="18"/>
    </row>
    <row r="83" spans="1:10" ht="20.25" x14ac:dyDescent="0.25">
      <c r="A83" s="54" t="s">
        <v>188</v>
      </c>
      <c r="B83" s="54"/>
      <c r="C83" s="54"/>
      <c r="D83" s="54"/>
      <c r="E83" s="54"/>
      <c r="F83" s="54"/>
      <c r="G83" s="54"/>
      <c r="H83" s="54"/>
      <c r="I83" s="54"/>
      <c r="J83" s="54"/>
    </row>
    <row r="84" spans="1:10" x14ac:dyDescent="0.25">
      <c r="A84" s="10"/>
      <c r="C84" s="11"/>
      <c r="D84" s="11"/>
      <c r="E84" s="11"/>
      <c r="F84" s="18"/>
      <c r="G84" s="18"/>
      <c r="H84" s="18"/>
    </row>
    <row r="85" spans="1:10" ht="31.15" hidden="1" customHeight="1" x14ac:dyDescent="0.25">
      <c r="A85" s="56" t="s">
        <v>191</v>
      </c>
      <c r="B85" s="56"/>
      <c r="C85" s="56"/>
      <c r="D85" s="56"/>
      <c r="E85" s="56"/>
      <c r="F85" s="56"/>
      <c r="G85" s="56"/>
      <c r="H85" s="56"/>
      <c r="I85" s="56"/>
      <c r="J85" s="56"/>
    </row>
    <row r="86" spans="1:10" ht="18.75" x14ac:dyDescent="0.3">
      <c r="A86" s="30" t="s">
        <v>338</v>
      </c>
      <c r="B86" s="33">
        <v>1118</v>
      </c>
      <c r="C86" s="33">
        <f t="shared" si="11"/>
        <v>1173.9000000000001</v>
      </c>
      <c r="D86" s="33">
        <f t="shared" ref="D86:D92" si="20">C86*$C$15</f>
        <v>1220.8560000000002</v>
      </c>
      <c r="E86" s="33">
        <f t="shared" ref="E86:E98" si="21">D86*$E$2</f>
        <v>1257.4816800000003</v>
      </c>
      <c r="F86" s="34">
        <f t="shared" si="17"/>
        <v>1358.0802144000004</v>
      </c>
      <c r="G86" s="34">
        <f t="shared" ref="G86:G106" si="22">+F86*$G$6</f>
        <v>1466.7266315520005</v>
      </c>
      <c r="H86" s="34">
        <f t="shared" ref="H86:H105" si="23">+G86*$H$4</f>
        <v>1540.0629631296006</v>
      </c>
      <c r="I86" s="32" t="s">
        <v>57</v>
      </c>
      <c r="J86" s="30" t="s">
        <v>171</v>
      </c>
    </row>
    <row r="87" spans="1:10" ht="18.75" x14ac:dyDescent="0.3">
      <c r="A87" s="30" t="s">
        <v>339</v>
      </c>
      <c r="B87" s="33">
        <v>496</v>
      </c>
      <c r="C87" s="33">
        <f t="shared" si="11"/>
        <v>520.79999999999995</v>
      </c>
      <c r="D87" s="33">
        <f t="shared" si="20"/>
        <v>541.63199999999995</v>
      </c>
      <c r="E87" s="33">
        <f t="shared" si="21"/>
        <v>557.88095999999996</v>
      </c>
      <c r="F87" s="34">
        <f t="shared" si="17"/>
        <v>602.51143679999996</v>
      </c>
      <c r="G87" s="34">
        <f t="shared" si="22"/>
        <v>650.71235174399999</v>
      </c>
      <c r="H87" s="34">
        <f t="shared" si="23"/>
        <v>683.24796933120001</v>
      </c>
      <c r="I87" s="32" t="s">
        <v>57</v>
      </c>
      <c r="J87" s="30" t="s">
        <v>172</v>
      </c>
    </row>
    <row r="88" spans="1:10" ht="18.75" x14ac:dyDescent="0.3">
      <c r="A88" s="30" t="s">
        <v>68</v>
      </c>
      <c r="B88" s="33">
        <v>621</v>
      </c>
      <c r="C88" s="33">
        <f t="shared" si="11"/>
        <v>652.04999999999995</v>
      </c>
      <c r="D88" s="33">
        <f t="shared" si="20"/>
        <v>678.13199999999995</v>
      </c>
      <c r="E88" s="33">
        <f t="shared" si="21"/>
        <v>698.47595999999999</v>
      </c>
      <c r="F88" s="34">
        <f t="shared" si="17"/>
        <v>754.35403680000002</v>
      </c>
      <c r="G88" s="34">
        <f t="shared" si="22"/>
        <v>814.70235974400009</v>
      </c>
      <c r="H88" s="34">
        <f t="shared" si="23"/>
        <v>855.43747773120015</v>
      </c>
      <c r="I88" s="32" t="s">
        <v>57</v>
      </c>
      <c r="J88" s="30" t="s">
        <v>173</v>
      </c>
    </row>
    <row r="89" spans="1:10" ht="18.75" x14ac:dyDescent="0.3">
      <c r="A89" s="30" t="s">
        <v>102</v>
      </c>
      <c r="B89" s="33">
        <v>165</v>
      </c>
      <c r="C89" s="33">
        <f t="shared" si="11"/>
        <v>173.25</v>
      </c>
      <c r="D89" s="33">
        <f t="shared" si="20"/>
        <v>180.18</v>
      </c>
      <c r="E89" s="33">
        <f t="shared" si="21"/>
        <v>185.58540000000002</v>
      </c>
      <c r="F89" s="34">
        <f t="shared" si="17"/>
        <v>200.43223200000003</v>
      </c>
      <c r="G89" s="34">
        <f t="shared" si="22"/>
        <v>216.46681056000006</v>
      </c>
      <c r="H89" s="34">
        <f t="shared" si="23"/>
        <v>227.29015108800007</v>
      </c>
      <c r="I89" s="32" t="s">
        <v>57</v>
      </c>
      <c r="J89" s="30" t="s">
        <v>174</v>
      </c>
    </row>
    <row r="90" spans="1:10" ht="37.5" x14ac:dyDescent="0.25">
      <c r="A90" s="35" t="s">
        <v>69</v>
      </c>
      <c r="B90" s="33">
        <v>492</v>
      </c>
      <c r="C90" s="33">
        <f t="shared" si="11"/>
        <v>516.6</v>
      </c>
      <c r="D90" s="33">
        <f t="shared" si="20"/>
        <v>537.26400000000001</v>
      </c>
      <c r="E90" s="33">
        <f t="shared" si="21"/>
        <v>553.38192000000004</v>
      </c>
      <c r="F90" s="34">
        <f t="shared" si="17"/>
        <v>597.65247360000012</v>
      </c>
      <c r="G90" s="34">
        <f t="shared" si="22"/>
        <v>645.46467148800014</v>
      </c>
      <c r="H90" s="34">
        <f t="shared" si="23"/>
        <v>677.73790506240016</v>
      </c>
      <c r="I90" s="30" t="s">
        <v>57</v>
      </c>
      <c r="J90" s="30" t="s">
        <v>175</v>
      </c>
    </row>
    <row r="91" spans="1:10" ht="18.75" x14ac:dyDescent="0.25">
      <c r="A91" s="35" t="s">
        <v>70</v>
      </c>
      <c r="B91" s="33">
        <v>611</v>
      </c>
      <c r="C91" s="33">
        <f t="shared" si="11"/>
        <v>641.54999999999995</v>
      </c>
      <c r="D91" s="33">
        <f t="shared" si="20"/>
        <v>667.21199999999999</v>
      </c>
      <c r="E91" s="33">
        <f t="shared" si="21"/>
        <v>687.22835999999995</v>
      </c>
      <c r="F91" s="34">
        <f t="shared" si="17"/>
        <v>742.20662879999998</v>
      </c>
      <c r="G91" s="34">
        <f t="shared" si="22"/>
        <v>801.58315910400006</v>
      </c>
      <c r="H91" s="34">
        <f t="shared" si="23"/>
        <v>841.66231705920006</v>
      </c>
      <c r="I91" s="30" t="s">
        <v>57</v>
      </c>
      <c r="J91" s="30" t="s">
        <v>175</v>
      </c>
    </row>
    <row r="92" spans="1:10" ht="18.75" x14ac:dyDescent="0.3">
      <c r="A92" s="30" t="s">
        <v>71</v>
      </c>
      <c r="B92" s="33">
        <v>212</v>
      </c>
      <c r="C92" s="33">
        <f t="shared" si="11"/>
        <v>222.6</v>
      </c>
      <c r="D92" s="33">
        <f t="shared" si="20"/>
        <v>231.50399999999999</v>
      </c>
      <c r="E92" s="33">
        <f t="shared" si="21"/>
        <v>238.44911999999999</v>
      </c>
      <c r="F92" s="34">
        <f t="shared" si="17"/>
        <v>257.52504959999999</v>
      </c>
      <c r="G92" s="34">
        <f t="shared" si="22"/>
        <v>278.12705356800001</v>
      </c>
      <c r="H92" s="34">
        <f t="shared" si="23"/>
        <v>292.03340624640003</v>
      </c>
      <c r="I92" s="32"/>
      <c r="J92" s="30" t="s">
        <v>176</v>
      </c>
    </row>
    <row r="93" spans="1:10" ht="37.5" x14ac:dyDescent="0.3">
      <c r="A93" s="35" t="s">
        <v>319</v>
      </c>
      <c r="B93" s="33"/>
      <c r="C93" s="33"/>
      <c r="D93" s="33">
        <v>231.5</v>
      </c>
      <c r="E93" s="33">
        <f t="shared" si="21"/>
        <v>238.44499999999999</v>
      </c>
      <c r="F93" s="34">
        <f t="shared" si="17"/>
        <v>257.5206</v>
      </c>
      <c r="G93" s="34">
        <f t="shared" si="22"/>
        <v>278.12224800000001</v>
      </c>
      <c r="H93" s="34">
        <f t="shared" si="23"/>
        <v>292.02836040000005</v>
      </c>
      <c r="I93" s="32"/>
      <c r="J93" s="30" t="s">
        <v>195</v>
      </c>
    </row>
    <row r="94" spans="1:10" ht="37.5" x14ac:dyDescent="0.3">
      <c r="A94" s="35" t="s">
        <v>72</v>
      </c>
      <c r="B94" s="33">
        <v>110</v>
      </c>
      <c r="C94" s="33">
        <v>230</v>
      </c>
      <c r="D94" s="33">
        <f>C94*$C$15</f>
        <v>239.20000000000002</v>
      </c>
      <c r="E94" s="33">
        <f t="shared" si="21"/>
        <v>246.37600000000003</v>
      </c>
      <c r="F94" s="34">
        <f t="shared" si="17"/>
        <v>266.08608000000004</v>
      </c>
      <c r="G94" s="34">
        <f t="shared" si="22"/>
        <v>287.37296640000005</v>
      </c>
      <c r="H94" s="34">
        <f t="shared" si="23"/>
        <v>301.74161472000009</v>
      </c>
      <c r="I94" s="32"/>
      <c r="J94" s="30" t="s">
        <v>194</v>
      </c>
    </row>
    <row r="95" spans="1:10" ht="18.75" x14ac:dyDescent="0.3">
      <c r="A95" s="35" t="s">
        <v>129</v>
      </c>
      <c r="B95" s="33">
        <v>110</v>
      </c>
      <c r="C95" s="33">
        <f t="shared" si="11"/>
        <v>115.5</v>
      </c>
      <c r="D95" s="33">
        <f>C95*$C$15</f>
        <v>120.12</v>
      </c>
      <c r="E95" s="33">
        <f t="shared" si="21"/>
        <v>123.7236</v>
      </c>
      <c r="F95" s="34">
        <f t="shared" si="17"/>
        <v>133.62148800000003</v>
      </c>
      <c r="G95" s="34">
        <f t="shared" si="22"/>
        <v>144.31120704000003</v>
      </c>
      <c r="H95" s="34">
        <f t="shared" si="23"/>
        <v>151.52676739200004</v>
      </c>
      <c r="I95" s="32"/>
      <c r="J95" s="30" t="s">
        <v>177</v>
      </c>
    </row>
    <row r="96" spans="1:10" ht="15" customHeight="1" x14ac:dyDescent="0.3">
      <c r="A96" s="30" t="s">
        <v>179</v>
      </c>
      <c r="B96" s="33">
        <v>453</v>
      </c>
      <c r="C96" s="33">
        <f t="shared" si="11"/>
        <v>475.65</v>
      </c>
      <c r="D96" s="33">
        <v>500</v>
      </c>
      <c r="E96" s="33">
        <f t="shared" si="21"/>
        <v>515</v>
      </c>
      <c r="F96" s="34">
        <f t="shared" si="17"/>
        <v>556.20000000000005</v>
      </c>
      <c r="G96" s="34">
        <f t="shared" si="22"/>
        <v>600.69600000000014</v>
      </c>
      <c r="H96" s="34">
        <f t="shared" si="23"/>
        <v>630.73080000000016</v>
      </c>
      <c r="I96" s="32"/>
      <c r="J96" s="30" t="s">
        <v>162</v>
      </c>
    </row>
    <row r="97" spans="1:10" ht="34.5" customHeight="1" x14ac:dyDescent="0.3">
      <c r="A97" s="40" t="s">
        <v>75</v>
      </c>
      <c r="B97" s="33">
        <v>250</v>
      </c>
      <c r="C97" s="33">
        <f t="shared" si="11"/>
        <v>262.5</v>
      </c>
      <c r="D97" s="33">
        <f>C97*$C$15</f>
        <v>273</v>
      </c>
      <c r="E97" s="33">
        <f t="shared" si="21"/>
        <v>281.19</v>
      </c>
      <c r="F97" s="34">
        <f t="shared" si="17"/>
        <v>303.68520000000001</v>
      </c>
      <c r="G97" s="34">
        <f t="shared" si="22"/>
        <v>327.98001600000003</v>
      </c>
      <c r="H97" s="34">
        <f t="shared" si="23"/>
        <v>344.37901680000004</v>
      </c>
      <c r="I97" s="32"/>
      <c r="J97" s="30" t="s">
        <v>180</v>
      </c>
    </row>
    <row r="98" spans="1:10" ht="18.75" x14ac:dyDescent="0.3">
      <c r="A98" s="30" t="s">
        <v>76</v>
      </c>
      <c r="B98" s="33">
        <v>280</v>
      </c>
      <c r="C98" s="33">
        <f t="shared" si="11"/>
        <v>294</v>
      </c>
      <c r="D98" s="33">
        <f>C98*$C$15</f>
        <v>305.76</v>
      </c>
      <c r="E98" s="33">
        <f t="shared" si="21"/>
        <v>314.93279999999999</v>
      </c>
      <c r="F98" s="34">
        <f t="shared" si="17"/>
        <v>340.12742400000002</v>
      </c>
      <c r="G98" s="34">
        <f t="shared" si="22"/>
        <v>367.33761792000007</v>
      </c>
      <c r="H98" s="34">
        <f t="shared" si="23"/>
        <v>385.70449881600007</v>
      </c>
      <c r="I98" s="32"/>
      <c r="J98" s="30" t="s">
        <v>167</v>
      </c>
    </row>
    <row r="99" spans="1:10" ht="18.75" x14ac:dyDescent="0.3">
      <c r="A99" s="30" t="s">
        <v>103</v>
      </c>
      <c r="B99" s="33">
        <v>280</v>
      </c>
      <c r="C99" s="33">
        <f t="shared" si="11"/>
        <v>294</v>
      </c>
      <c r="D99" s="33">
        <f>C99*$C$15</f>
        <v>305.76</v>
      </c>
      <c r="E99" s="33">
        <f t="shared" ref="E99:E104" si="24">D99*$E$2</f>
        <v>314.93279999999999</v>
      </c>
      <c r="F99" s="34">
        <f t="shared" si="17"/>
        <v>340.12742400000002</v>
      </c>
      <c r="G99" s="34">
        <f t="shared" si="22"/>
        <v>367.33761792000007</v>
      </c>
      <c r="H99" s="34">
        <f t="shared" si="23"/>
        <v>385.70449881600007</v>
      </c>
      <c r="I99" s="32"/>
      <c r="J99" s="30" t="s">
        <v>168</v>
      </c>
    </row>
    <row r="100" spans="1:10" ht="18.75" x14ac:dyDescent="0.3">
      <c r="A100" s="30" t="s">
        <v>114</v>
      </c>
      <c r="B100" s="33"/>
      <c r="C100" s="33"/>
      <c r="D100" s="33">
        <v>120.12</v>
      </c>
      <c r="E100" s="33">
        <f t="shared" si="24"/>
        <v>123.7236</v>
      </c>
      <c r="F100" s="34">
        <f t="shared" si="17"/>
        <v>133.62148800000003</v>
      </c>
      <c r="G100" s="34">
        <f t="shared" si="22"/>
        <v>144.31120704000003</v>
      </c>
      <c r="H100" s="34">
        <f t="shared" si="23"/>
        <v>151.52676739200004</v>
      </c>
      <c r="I100" s="32"/>
      <c r="J100" s="30" t="s">
        <v>183</v>
      </c>
    </row>
    <row r="101" spans="1:10" ht="18.75" x14ac:dyDescent="0.3">
      <c r="A101" s="30" t="s">
        <v>115</v>
      </c>
      <c r="B101" s="33"/>
      <c r="C101" s="33"/>
      <c r="D101" s="33">
        <v>240.24</v>
      </c>
      <c r="E101" s="33">
        <f t="shared" si="24"/>
        <v>247.44720000000001</v>
      </c>
      <c r="F101" s="34">
        <f t="shared" si="17"/>
        <v>267.24297600000006</v>
      </c>
      <c r="G101" s="34">
        <f t="shared" si="22"/>
        <v>288.62241408000006</v>
      </c>
      <c r="H101" s="34">
        <f t="shared" si="23"/>
        <v>303.05353478400008</v>
      </c>
      <c r="I101" s="32"/>
      <c r="J101" s="30" t="s">
        <v>183</v>
      </c>
    </row>
    <row r="102" spans="1:10" ht="18.75" x14ac:dyDescent="0.3">
      <c r="A102" s="30" t="s">
        <v>119</v>
      </c>
      <c r="B102" s="33">
        <v>105</v>
      </c>
      <c r="C102" s="33">
        <v>80</v>
      </c>
      <c r="D102" s="33">
        <f>C102*$C$15</f>
        <v>83.2</v>
      </c>
      <c r="E102" s="33">
        <f t="shared" si="24"/>
        <v>85.696000000000012</v>
      </c>
      <c r="F102" s="34">
        <f t="shared" si="17"/>
        <v>92.551680000000019</v>
      </c>
      <c r="G102" s="34">
        <f t="shared" si="22"/>
        <v>99.955814400000023</v>
      </c>
      <c r="H102" s="34">
        <f t="shared" si="23"/>
        <v>104.95360512000003</v>
      </c>
      <c r="I102" s="32"/>
      <c r="J102" s="30" t="s">
        <v>184</v>
      </c>
    </row>
    <row r="103" spans="1:10" ht="18.75" x14ac:dyDescent="0.3">
      <c r="A103" s="30" t="s">
        <v>120</v>
      </c>
      <c r="B103" s="33">
        <v>280</v>
      </c>
      <c r="C103" s="33">
        <f t="shared" si="11"/>
        <v>294</v>
      </c>
      <c r="D103" s="33">
        <f>C103*$C$15</f>
        <v>305.76</v>
      </c>
      <c r="E103" s="33">
        <f t="shared" si="24"/>
        <v>314.93279999999999</v>
      </c>
      <c r="F103" s="34">
        <f t="shared" si="17"/>
        <v>340.12742400000002</v>
      </c>
      <c r="G103" s="34">
        <f t="shared" si="22"/>
        <v>367.33761792000007</v>
      </c>
      <c r="H103" s="34">
        <f t="shared" si="23"/>
        <v>385.70449881600007</v>
      </c>
      <c r="I103" s="32"/>
      <c r="J103" s="30" t="s">
        <v>185</v>
      </c>
    </row>
    <row r="104" spans="1:10" ht="37.5" x14ac:dyDescent="0.3">
      <c r="A104" s="35" t="s">
        <v>104</v>
      </c>
      <c r="B104" s="33">
        <v>110</v>
      </c>
      <c r="C104" s="33">
        <f t="shared" si="11"/>
        <v>115.5</v>
      </c>
      <c r="D104" s="33">
        <f>C104*$C$15</f>
        <v>120.12</v>
      </c>
      <c r="E104" s="33">
        <f t="shared" si="24"/>
        <v>123.7236</v>
      </c>
      <c r="F104" s="34">
        <f t="shared" si="17"/>
        <v>133.62148800000003</v>
      </c>
      <c r="G104" s="34">
        <f t="shared" si="22"/>
        <v>144.31120704000003</v>
      </c>
      <c r="H104" s="34">
        <f t="shared" si="23"/>
        <v>151.52676739200004</v>
      </c>
      <c r="I104" s="32"/>
      <c r="J104" s="30" t="s">
        <v>186</v>
      </c>
    </row>
    <row r="105" spans="1:10" ht="37.5" x14ac:dyDescent="0.25">
      <c r="A105" s="65" t="s">
        <v>197</v>
      </c>
      <c r="B105" s="61"/>
      <c r="C105" s="61"/>
      <c r="D105" s="61">
        <v>333.33</v>
      </c>
      <c r="E105" s="61">
        <f>D105*1.04</f>
        <v>346.66320000000002</v>
      </c>
      <c r="F105" s="63">
        <v>2250</v>
      </c>
      <c r="G105" s="63">
        <f t="shared" si="22"/>
        <v>2430</v>
      </c>
      <c r="H105" s="63">
        <f t="shared" si="23"/>
        <v>2551.5</v>
      </c>
      <c r="I105" s="30"/>
      <c r="J105" s="30" t="s">
        <v>344</v>
      </c>
    </row>
    <row r="106" spans="1:10" ht="37.5" x14ac:dyDescent="0.25">
      <c r="A106" s="65" t="s">
        <v>196</v>
      </c>
      <c r="B106" s="61"/>
      <c r="C106" s="61"/>
      <c r="D106" s="61">
        <v>100</v>
      </c>
      <c r="E106" s="61">
        <f>+D106*1.04</f>
        <v>104</v>
      </c>
      <c r="F106" s="63">
        <v>120</v>
      </c>
      <c r="G106" s="63">
        <f t="shared" si="22"/>
        <v>129.60000000000002</v>
      </c>
      <c r="H106" s="63">
        <v>242</v>
      </c>
      <c r="I106" s="30"/>
      <c r="J106" s="30" t="s">
        <v>344</v>
      </c>
    </row>
    <row r="107" spans="1:10" ht="37.5" x14ac:dyDescent="0.25">
      <c r="A107" s="65" t="s">
        <v>346</v>
      </c>
      <c r="B107" s="66"/>
      <c r="C107" s="66"/>
      <c r="D107" s="66"/>
      <c r="E107" s="66"/>
      <c r="F107" s="67"/>
      <c r="G107" s="67"/>
      <c r="H107" s="63">
        <v>1200</v>
      </c>
      <c r="I107" s="10"/>
      <c r="J107" s="30" t="s">
        <v>345</v>
      </c>
    </row>
    <row r="108" spans="1:10" ht="37.5" x14ac:dyDescent="0.25">
      <c r="A108" s="65" t="s">
        <v>347</v>
      </c>
      <c r="B108" s="66"/>
      <c r="C108" s="66"/>
      <c r="D108" s="66"/>
      <c r="E108" s="66"/>
      <c r="F108" s="67"/>
      <c r="G108" s="67"/>
      <c r="H108" s="63">
        <v>100</v>
      </c>
      <c r="I108" s="10"/>
      <c r="J108" s="30" t="s">
        <v>345</v>
      </c>
    </row>
    <row r="109" spans="1:10" x14ac:dyDescent="0.25">
      <c r="A109" s="15"/>
      <c r="B109" s="11"/>
      <c r="C109" s="11"/>
      <c r="D109" s="11"/>
      <c r="E109" s="11"/>
      <c r="F109" s="18"/>
      <c r="G109" s="18"/>
      <c r="H109" s="18"/>
      <c r="I109" s="10"/>
    </row>
    <row r="110" spans="1:10" x14ac:dyDescent="0.25">
      <c r="A110" s="15"/>
      <c r="B110" s="11"/>
      <c r="C110" s="11"/>
      <c r="D110" s="11"/>
      <c r="E110" s="11"/>
      <c r="F110" s="18"/>
      <c r="G110" s="18"/>
      <c r="H110" s="18"/>
    </row>
    <row r="111" spans="1:10" ht="46.9" customHeight="1" x14ac:dyDescent="0.25">
      <c r="A111" s="53" t="s">
        <v>333</v>
      </c>
      <c r="B111" s="53"/>
      <c r="C111" s="53"/>
      <c r="D111" s="53"/>
      <c r="E111" s="53"/>
      <c r="F111" s="53"/>
      <c r="G111" s="53"/>
      <c r="H111" s="53"/>
      <c r="I111" s="53"/>
      <c r="J111" s="53"/>
    </row>
    <row r="112" spans="1:10" x14ac:dyDescent="0.25">
      <c r="A112" s="10"/>
      <c r="B112" s="11"/>
      <c r="C112" s="11"/>
      <c r="D112" s="11"/>
      <c r="E112" s="11"/>
      <c r="F112" s="18"/>
      <c r="G112" s="18"/>
      <c r="H112" s="18"/>
    </row>
    <row r="113" spans="1:14" ht="18.75" x14ac:dyDescent="0.3">
      <c r="A113" s="59" t="s">
        <v>121</v>
      </c>
      <c r="B113" s="61"/>
      <c r="C113" s="61"/>
      <c r="D113" s="60">
        <v>3.8515999999999999</v>
      </c>
      <c r="E113" s="60">
        <f t="shared" ref="E113:E120" si="25">D113*$E$2</f>
        <v>3.9671479999999999</v>
      </c>
      <c r="F113" s="60">
        <f>E113*$F$2</f>
        <v>4.2845198399999997</v>
      </c>
      <c r="G113" s="60">
        <f t="shared" ref="G113:G120" si="26">+F113*$G$6</f>
        <v>4.6272814271999998</v>
      </c>
      <c r="H113" s="61">
        <f t="shared" ref="H113:H120" si="27">+G113*$H$4</f>
        <v>4.8586454985599996</v>
      </c>
      <c r="I113" s="32"/>
      <c r="J113" s="30" t="s">
        <v>187</v>
      </c>
      <c r="K113" s="29"/>
      <c r="L113" s="29"/>
      <c r="M113" s="29"/>
    </row>
    <row r="114" spans="1:14" ht="18.75" x14ac:dyDescent="0.3">
      <c r="A114" s="59" t="s">
        <v>122</v>
      </c>
      <c r="B114" s="61"/>
      <c r="C114" s="61"/>
      <c r="D114" s="60">
        <v>2.9579</v>
      </c>
      <c r="E114" s="60">
        <f t="shared" si="25"/>
        <v>3.046637</v>
      </c>
      <c r="F114" s="60">
        <f t="shared" ref="F114:F120" si="28">E114*$F$2</f>
        <v>3.2903679600000002</v>
      </c>
      <c r="G114" s="60">
        <f t="shared" si="26"/>
        <v>3.5535973968000003</v>
      </c>
      <c r="H114" s="61">
        <f t="shared" si="27"/>
        <v>3.7312772666400007</v>
      </c>
      <c r="I114" s="32"/>
      <c r="J114" s="30" t="s">
        <v>187</v>
      </c>
    </row>
    <row r="115" spans="1:14" ht="18.75" x14ac:dyDescent="0.3">
      <c r="A115" s="59" t="s">
        <v>123</v>
      </c>
      <c r="B115" s="61"/>
      <c r="C115" s="61"/>
      <c r="D115" s="60">
        <v>3.5124</v>
      </c>
      <c r="E115" s="60">
        <f t="shared" si="25"/>
        <v>3.617772</v>
      </c>
      <c r="F115" s="60">
        <f t="shared" si="28"/>
        <v>3.9071937600000002</v>
      </c>
      <c r="G115" s="60">
        <f t="shared" si="26"/>
        <v>4.2197692608000006</v>
      </c>
      <c r="H115" s="61">
        <f t="shared" si="27"/>
        <v>4.4307577238400011</v>
      </c>
      <c r="I115" s="32"/>
      <c r="J115" s="30" t="s">
        <v>187</v>
      </c>
    </row>
    <row r="116" spans="1:14" ht="18.75" x14ac:dyDescent="0.3">
      <c r="A116" s="59" t="s">
        <v>124</v>
      </c>
      <c r="B116" s="61"/>
      <c r="C116" s="61"/>
      <c r="D116" s="60">
        <v>2.6974999999999998</v>
      </c>
      <c r="E116" s="60">
        <f t="shared" si="25"/>
        <v>2.7784249999999999</v>
      </c>
      <c r="F116" s="60">
        <f t="shared" si="28"/>
        <v>3.000699</v>
      </c>
      <c r="G116" s="60">
        <f t="shared" si="26"/>
        <v>3.2407549200000001</v>
      </c>
      <c r="H116" s="61">
        <f t="shared" si="27"/>
        <v>3.4027926660000003</v>
      </c>
      <c r="I116" s="32"/>
      <c r="J116" s="30" t="s">
        <v>187</v>
      </c>
    </row>
    <row r="117" spans="1:14" ht="18.75" x14ac:dyDescent="0.3">
      <c r="A117" s="59" t="s">
        <v>125</v>
      </c>
      <c r="B117" s="61"/>
      <c r="C117" s="61"/>
      <c r="D117" s="60">
        <v>3.2353999999999998</v>
      </c>
      <c r="E117" s="60">
        <f t="shared" si="25"/>
        <v>3.332462</v>
      </c>
      <c r="F117" s="60">
        <f t="shared" si="28"/>
        <v>3.5990589600000003</v>
      </c>
      <c r="G117" s="60">
        <f t="shared" si="26"/>
        <v>3.8869836768000003</v>
      </c>
      <c r="H117" s="61">
        <f t="shared" si="27"/>
        <v>4.0813328606400008</v>
      </c>
      <c r="I117" s="32"/>
      <c r="J117" s="30" t="s">
        <v>187</v>
      </c>
    </row>
    <row r="118" spans="1:14" ht="18.75" x14ac:dyDescent="0.3">
      <c r="A118" s="59" t="s">
        <v>126</v>
      </c>
      <c r="B118" s="61"/>
      <c r="C118" s="61"/>
      <c r="D118" s="60">
        <v>2.4340999999999999</v>
      </c>
      <c r="E118" s="60">
        <f t="shared" si="25"/>
        <v>2.507123</v>
      </c>
      <c r="F118" s="60">
        <f t="shared" si="28"/>
        <v>2.70769284</v>
      </c>
      <c r="G118" s="60">
        <f t="shared" si="26"/>
        <v>2.9243082672000003</v>
      </c>
      <c r="H118" s="61">
        <f t="shared" si="27"/>
        <v>3.0705236805600005</v>
      </c>
      <c r="I118" s="32"/>
      <c r="J118" s="30" t="s">
        <v>187</v>
      </c>
    </row>
    <row r="119" spans="1:14" ht="18.75" x14ac:dyDescent="0.3">
      <c r="A119" s="59" t="s">
        <v>127</v>
      </c>
      <c r="B119" s="61"/>
      <c r="C119" s="61"/>
      <c r="D119" s="60">
        <v>2.9346000000000001</v>
      </c>
      <c r="E119" s="60">
        <f t="shared" si="25"/>
        <v>3.0226380000000002</v>
      </c>
      <c r="F119" s="60">
        <f t="shared" si="28"/>
        <v>3.2644490400000006</v>
      </c>
      <c r="G119" s="60">
        <f t="shared" si="26"/>
        <v>3.5256049632000011</v>
      </c>
      <c r="H119" s="61">
        <f t="shared" si="27"/>
        <v>3.7018852113600014</v>
      </c>
      <c r="I119" s="32"/>
      <c r="J119" s="30" t="s">
        <v>187</v>
      </c>
    </row>
    <row r="120" spans="1:14" ht="18.75" x14ac:dyDescent="0.3">
      <c r="A120" s="59" t="s">
        <v>128</v>
      </c>
      <c r="B120" s="61"/>
      <c r="C120" s="61"/>
      <c r="D120" s="60">
        <v>2.2079</v>
      </c>
      <c r="E120" s="60">
        <f t="shared" si="25"/>
        <v>2.2741370000000001</v>
      </c>
      <c r="F120" s="60">
        <f t="shared" si="28"/>
        <v>2.4560679600000004</v>
      </c>
      <c r="G120" s="60">
        <f t="shared" si="26"/>
        <v>2.6525533968000006</v>
      </c>
      <c r="H120" s="61">
        <f t="shared" si="27"/>
        <v>2.7851810666400008</v>
      </c>
      <c r="I120" s="32"/>
      <c r="J120" s="30" t="s">
        <v>187</v>
      </c>
    </row>
    <row r="121" spans="1:14" x14ac:dyDescent="0.25">
      <c r="A121" s="10"/>
      <c r="B121" s="11"/>
      <c r="C121" s="11"/>
      <c r="D121" s="13"/>
      <c r="E121" s="13"/>
      <c r="F121" s="18"/>
      <c r="G121" s="18"/>
      <c r="H121" s="18"/>
    </row>
    <row r="122" spans="1:14" x14ac:dyDescent="0.25">
      <c r="A122" s="10"/>
      <c r="B122" s="11"/>
      <c r="C122" s="11"/>
      <c r="D122" s="13"/>
      <c r="E122" s="13"/>
      <c r="F122" s="18"/>
      <c r="G122" s="18"/>
      <c r="H122" s="18"/>
    </row>
    <row r="123" spans="1:14" ht="20.25" x14ac:dyDescent="0.25">
      <c r="A123" s="57" t="s">
        <v>348</v>
      </c>
      <c r="B123" s="57"/>
      <c r="C123" s="57"/>
      <c r="D123" s="57"/>
      <c r="E123" s="57"/>
      <c r="F123" s="57"/>
      <c r="G123" s="57"/>
      <c r="H123" s="57"/>
      <c r="I123" s="57"/>
      <c r="J123" s="57"/>
    </row>
    <row r="124" spans="1:14" ht="20.25" x14ac:dyDescent="0.25">
      <c r="A124" s="14"/>
      <c r="B124" s="14"/>
      <c r="C124" s="14"/>
      <c r="D124" s="14"/>
      <c r="E124" s="14"/>
      <c r="F124" s="20"/>
      <c r="G124" s="20"/>
      <c r="H124" s="20"/>
      <c r="I124" s="14"/>
      <c r="J124" s="14"/>
    </row>
    <row r="125" spans="1:14" ht="37.5" x14ac:dyDescent="0.3">
      <c r="A125" s="65" t="s">
        <v>341</v>
      </c>
      <c r="B125" s="61"/>
      <c r="C125" s="61"/>
      <c r="D125" s="61">
        <v>790.61</v>
      </c>
      <c r="E125" s="61">
        <f>D125*1.04</f>
        <v>822.23440000000005</v>
      </c>
      <c r="F125" s="63">
        <f>E125*$F$2</f>
        <v>888.0131520000001</v>
      </c>
      <c r="G125" s="63">
        <f t="shared" ref="G125:G134" si="29">+F125*$G$6</f>
        <v>959.05420416000015</v>
      </c>
      <c r="H125" s="63">
        <f t="shared" ref="H125:H134" si="30">+G125*$H$4</f>
        <v>1007.0069143680003</v>
      </c>
      <c r="I125" s="32"/>
      <c r="J125" s="30" t="s">
        <v>349</v>
      </c>
    </row>
    <row r="126" spans="1:14" ht="37.5" x14ac:dyDescent="0.25">
      <c r="A126" s="65" t="s">
        <v>342</v>
      </c>
      <c r="B126" s="61"/>
      <c r="C126" s="61"/>
      <c r="D126" s="61">
        <v>587.5</v>
      </c>
      <c r="E126" s="61">
        <f t="shared" ref="E126:E133" si="31">D126*1.04</f>
        <v>611</v>
      </c>
      <c r="F126" s="63">
        <f>E126*$F$2</f>
        <v>659.88</v>
      </c>
      <c r="G126" s="63">
        <f t="shared" si="29"/>
        <v>712.67040000000009</v>
      </c>
      <c r="H126" s="63">
        <f t="shared" si="30"/>
        <v>748.30392000000018</v>
      </c>
      <c r="I126" s="30"/>
      <c r="J126" s="30" t="s">
        <v>349</v>
      </c>
    </row>
    <row r="127" spans="1:14" ht="37.5" x14ac:dyDescent="0.3">
      <c r="A127" s="65" t="s">
        <v>340</v>
      </c>
      <c r="B127" s="61"/>
      <c r="C127" s="61"/>
      <c r="D127" s="61">
        <v>395.31</v>
      </c>
      <c r="E127" s="61">
        <f t="shared" si="31"/>
        <v>411.12240000000003</v>
      </c>
      <c r="F127" s="63">
        <f>E127*$F$2</f>
        <v>444.01219200000008</v>
      </c>
      <c r="G127" s="63">
        <f t="shared" si="29"/>
        <v>479.53316736000011</v>
      </c>
      <c r="H127" s="63">
        <f t="shared" si="30"/>
        <v>503.50982572800012</v>
      </c>
      <c r="I127" s="32"/>
      <c r="J127" s="30" t="s">
        <v>349</v>
      </c>
      <c r="N127" s="17"/>
    </row>
    <row r="128" spans="1:14" ht="37.5" hidden="1" x14ac:dyDescent="0.3">
      <c r="A128" s="65" t="s">
        <v>343</v>
      </c>
      <c r="B128" s="61"/>
      <c r="C128" s="61"/>
      <c r="D128" s="61"/>
      <c r="E128" s="61"/>
      <c r="F128" s="63"/>
      <c r="G128" s="63"/>
      <c r="H128" s="63">
        <v>1200</v>
      </c>
      <c r="I128" s="32"/>
      <c r="J128" s="30" t="s">
        <v>349</v>
      </c>
      <c r="N128" s="17"/>
    </row>
    <row r="129" spans="1:16" ht="18.75" x14ac:dyDescent="0.25">
      <c r="A129" s="59" t="s">
        <v>142</v>
      </c>
      <c r="B129" s="61"/>
      <c r="C129" s="61"/>
      <c r="D129" s="61">
        <v>311.22000000000003</v>
      </c>
      <c r="E129" s="61">
        <f t="shared" si="31"/>
        <v>323.66880000000003</v>
      </c>
      <c r="F129" s="63">
        <f>E129*$F$2</f>
        <v>349.56230400000004</v>
      </c>
      <c r="G129" s="63">
        <f t="shared" si="29"/>
        <v>377.52728832000008</v>
      </c>
      <c r="H129" s="63">
        <f t="shared" si="30"/>
        <v>396.40365273600008</v>
      </c>
      <c r="I129" s="35"/>
      <c r="J129" s="30" t="s">
        <v>349</v>
      </c>
      <c r="N129" s="17"/>
    </row>
    <row r="130" spans="1:16" ht="18.75" x14ac:dyDescent="0.3">
      <c r="A130" s="59" t="s">
        <v>147</v>
      </c>
      <c r="B130" s="61"/>
      <c r="C130" s="61"/>
      <c r="D130" s="61">
        <v>65.88</v>
      </c>
      <c r="E130" s="61">
        <f t="shared" si="31"/>
        <v>68.515199999999993</v>
      </c>
      <c r="F130" s="63">
        <f>E130*$F$2</f>
        <v>73.996415999999996</v>
      </c>
      <c r="G130" s="63">
        <f t="shared" si="29"/>
        <v>79.916129280000007</v>
      </c>
      <c r="H130" s="63">
        <f t="shared" si="30"/>
        <v>83.911935744000004</v>
      </c>
      <c r="I130" s="32"/>
      <c r="J130" s="30" t="s">
        <v>349</v>
      </c>
      <c r="P130" s="19"/>
    </row>
    <row r="131" spans="1:16" ht="37.5" x14ac:dyDescent="0.3">
      <c r="A131" s="65" t="s">
        <v>334</v>
      </c>
      <c r="B131" s="61"/>
      <c r="C131" s="61"/>
      <c r="D131" s="60"/>
      <c r="E131" s="61">
        <v>367.44</v>
      </c>
      <c r="F131" s="61">
        <v>394.5</v>
      </c>
      <c r="G131" s="63">
        <f t="shared" si="29"/>
        <v>426.06</v>
      </c>
      <c r="H131" s="61">
        <v>725.25</v>
      </c>
      <c r="I131" s="32"/>
      <c r="J131" s="30" t="s">
        <v>349</v>
      </c>
    </row>
    <row r="132" spans="1:16" ht="18.75" x14ac:dyDescent="0.3">
      <c r="A132" s="59" t="s">
        <v>30</v>
      </c>
      <c r="B132" s="61"/>
      <c r="C132" s="61"/>
      <c r="D132" s="61">
        <v>262.5</v>
      </c>
      <c r="E132" s="61">
        <v>367.44</v>
      </c>
      <c r="F132" s="61">
        <v>394.5</v>
      </c>
      <c r="G132" s="63">
        <f t="shared" si="29"/>
        <v>426.06</v>
      </c>
      <c r="H132" s="61">
        <v>725.25</v>
      </c>
      <c r="I132" s="32" t="s">
        <v>335</v>
      </c>
      <c r="J132" s="30" t="s">
        <v>349</v>
      </c>
    </row>
    <row r="133" spans="1:16" ht="18.75" x14ac:dyDescent="0.3">
      <c r="A133" s="59" t="s">
        <v>153</v>
      </c>
      <c r="B133" s="61"/>
      <c r="C133" s="61"/>
      <c r="D133" s="61">
        <v>2.3001</v>
      </c>
      <c r="E133" s="60">
        <f t="shared" si="31"/>
        <v>2.3921040000000002</v>
      </c>
      <c r="F133" s="60">
        <f>E133*$F$2</f>
        <v>2.5834723200000003</v>
      </c>
      <c r="G133" s="60">
        <f t="shared" si="29"/>
        <v>2.7901501056000004</v>
      </c>
      <c r="H133" s="61">
        <v>3.2</v>
      </c>
      <c r="I133" s="32"/>
      <c r="J133" s="30" t="s">
        <v>349</v>
      </c>
    </row>
    <row r="134" spans="1:16" ht="18.75" x14ac:dyDescent="0.25">
      <c r="A134" s="59" t="s">
        <v>350</v>
      </c>
      <c r="B134" s="61"/>
      <c r="C134" s="61"/>
      <c r="D134" s="61"/>
      <c r="E134" s="60">
        <v>3.6177999999999999</v>
      </c>
      <c r="F134" s="60">
        <f>E134*$F$2</f>
        <v>3.9072240000000003</v>
      </c>
      <c r="G134" s="60">
        <f t="shared" si="29"/>
        <v>4.219801920000001</v>
      </c>
      <c r="H134" s="61">
        <f t="shared" si="30"/>
        <v>4.4307920160000016</v>
      </c>
      <c r="I134" s="35"/>
      <c r="J134" s="30" t="s">
        <v>349</v>
      </c>
    </row>
    <row r="135" spans="1:16" x14ac:dyDescent="0.25">
      <c r="A135" s="10"/>
      <c r="B135" s="11"/>
      <c r="C135" s="11"/>
      <c r="D135" s="11"/>
      <c r="E135" s="13"/>
      <c r="F135" s="13"/>
      <c r="G135" s="13"/>
      <c r="H135" s="13"/>
      <c r="I135" s="15"/>
    </row>
    <row r="136" spans="1:16" x14ac:dyDescent="0.25">
      <c r="A136" s="10"/>
      <c r="B136" s="11"/>
      <c r="C136" s="11"/>
      <c r="D136" s="11"/>
      <c r="E136" s="13"/>
      <c r="F136" s="13"/>
      <c r="G136" s="13"/>
      <c r="H136" s="13"/>
      <c r="I136" s="15"/>
    </row>
    <row r="137" spans="1:16" x14ac:dyDescent="0.25">
      <c r="A137" s="10"/>
      <c r="B137" s="11"/>
      <c r="C137" s="11"/>
      <c r="D137" s="13"/>
      <c r="E137" s="11"/>
      <c r="F137" s="18"/>
      <c r="G137" s="18"/>
      <c r="H137" s="18"/>
    </row>
    <row r="138" spans="1:16" hidden="1" x14ac:dyDescent="0.25">
      <c r="A138" s="10"/>
      <c r="B138" s="11"/>
      <c r="C138" s="11"/>
      <c r="D138" s="11"/>
      <c r="E138" s="11"/>
      <c r="F138" s="18"/>
      <c r="G138" s="18"/>
      <c r="H138" s="18"/>
    </row>
    <row r="139" spans="1:16" ht="20.25" hidden="1" x14ac:dyDescent="0.25">
      <c r="A139" s="57" t="s">
        <v>3</v>
      </c>
      <c r="B139" s="57"/>
      <c r="C139" s="57"/>
      <c r="D139" s="57"/>
      <c r="E139" s="57"/>
      <c r="F139" s="57"/>
      <c r="G139" s="57"/>
      <c r="H139" s="57"/>
      <c r="I139" s="57"/>
      <c r="J139" s="57"/>
    </row>
    <row r="140" spans="1:16" ht="20.25" hidden="1" x14ac:dyDescent="0.3">
      <c r="A140" s="58" t="s">
        <v>320</v>
      </c>
      <c r="B140" s="58"/>
      <c r="C140" s="58"/>
      <c r="D140" s="58"/>
      <c r="E140" s="58"/>
      <c r="F140" s="58"/>
      <c r="G140" s="58"/>
      <c r="H140" s="58"/>
      <c r="I140" s="58"/>
      <c r="J140" s="46"/>
    </row>
    <row r="141" spans="1:16" ht="18.75" hidden="1" x14ac:dyDescent="0.3">
      <c r="A141" s="30" t="s">
        <v>79</v>
      </c>
      <c r="B141" s="33">
        <v>703</v>
      </c>
      <c r="C141" s="33">
        <f t="shared" ref="C141:C150" si="32">+B141*0.05+B141</f>
        <v>738.15</v>
      </c>
      <c r="D141" s="33">
        <f t="shared" ref="D141:D146" si="33">C141*$C$15</f>
        <v>767.67600000000004</v>
      </c>
      <c r="E141" s="33">
        <f t="shared" ref="E141:E146" si="34">D141*1.04</f>
        <v>798.38304000000005</v>
      </c>
      <c r="F141" s="34">
        <f t="shared" ref="F141:F150" si="35">E141*$F$2</f>
        <v>862.25368320000007</v>
      </c>
      <c r="G141" s="34">
        <f t="shared" ref="G141:G150" si="36">+F141*$G$6</f>
        <v>931.23397785600014</v>
      </c>
      <c r="H141" s="34">
        <f t="shared" ref="H141:H150" si="37">+G141*$H$4</f>
        <v>977.79567674880013</v>
      </c>
      <c r="I141" s="32"/>
      <c r="J141" s="30" t="s">
        <v>317</v>
      </c>
    </row>
    <row r="142" spans="1:16" ht="18.75" hidden="1" x14ac:dyDescent="0.3">
      <c r="A142" s="30" t="s">
        <v>80</v>
      </c>
      <c r="B142" s="33">
        <v>115</v>
      </c>
      <c r="C142" s="33">
        <f t="shared" si="32"/>
        <v>120.75</v>
      </c>
      <c r="D142" s="33">
        <f t="shared" si="33"/>
        <v>125.58</v>
      </c>
      <c r="E142" s="33">
        <f t="shared" si="34"/>
        <v>130.60320000000002</v>
      </c>
      <c r="F142" s="34">
        <f t="shared" si="35"/>
        <v>141.05145600000003</v>
      </c>
      <c r="G142" s="34">
        <f t="shared" si="36"/>
        <v>152.33557248000005</v>
      </c>
      <c r="H142" s="34">
        <f t="shared" si="37"/>
        <v>159.95235110400006</v>
      </c>
      <c r="I142" s="32"/>
      <c r="J142" s="30" t="s">
        <v>317</v>
      </c>
    </row>
    <row r="143" spans="1:16" ht="18.75" hidden="1" x14ac:dyDescent="0.3">
      <c r="A143" s="30" t="s">
        <v>81</v>
      </c>
      <c r="B143" s="41">
        <v>631</v>
      </c>
      <c r="C143" s="33">
        <f t="shared" si="32"/>
        <v>662.55</v>
      </c>
      <c r="D143" s="33">
        <f t="shared" si="33"/>
        <v>689.05200000000002</v>
      </c>
      <c r="E143" s="33">
        <f t="shared" si="34"/>
        <v>716.61408000000006</v>
      </c>
      <c r="F143" s="34">
        <f t="shared" si="35"/>
        <v>773.94320640000012</v>
      </c>
      <c r="G143" s="34">
        <f t="shared" si="36"/>
        <v>835.85866291200023</v>
      </c>
      <c r="H143" s="34">
        <f t="shared" si="37"/>
        <v>877.65159605760027</v>
      </c>
      <c r="I143" s="32"/>
      <c r="J143" s="30" t="s">
        <v>317</v>
      </c>
    </row>
    <row r="144" spans="1:16" ht="18.75" hidden="1" x14ac:dyDescent="0.3">
      <c r="A144" s="30" t="s">
        <v>82</v>
      </c>
      <c r="B144" s="33">
        <v>102</v>
      </c>
      <c r="C144" s="33">
        <f t="shared" si="32"/>
        <v>107.1</v>
      </c>
      <c r="D144" s="33">
        <f t="shared" si="33"/>
        <v>111.384</v>
      </c>
      <c r="E144" s="33">
        <f t="shared" si="34"/>
        <v>115.83936</v>
      </c>
      <c r="F144" s="34">
        <f t="shared" si="35"/>
        <v>125.1065088</v>
      </c>
      <c r="G144" s="34">
        <f t="shared" si="36"/>
        <v>135.11502950400001</v>
      </c>
      <c r="H144" s="34">
        <f t="shared" si="37"/>
        <v>141.87078097920002</v>
      </c>
      <c r="I144" s="32"/>
      <c r="J144" s="30" t="s">
        <v>317</v>
      </c>
    </row>
    <row r="145" spans="1:10" ht="18.75" hidden="1" x14ac:dyDescent="0.3">
      <c r="A145" s="30" t="s">
        <v>83</v>
      </c>
      <c r="B145" s="33">
        <v>567</v>
      </c>
      <c r="C145" s="33">
        <f t="shared" si="32"/>
        <v>595.35</v>
      </c>
      <c r="D145" s="33">
        <f t="shared" si="33"/>
        <v>619.1640000000001</v>
      </c>
      <c r="E145" s="33">
        <f t="shared" si="34"/>
        <v>643.93056000000013</v>
      </c>
      <c r="F145" s="34">
        <f t="shared" si="35"/>
        <v>695.44500480000022</v>
      </c>
      <c r="G145" s="34">
        <f t="shared" si="36"/>
        <v>751.08060518400032</v>
      </c>
      <c r="H145" s="34">
        <f t="shared" si="37"/>
        <v>788.63463544320041</v>
      </c>
      <c r="I145" s="32"/>
      <c r="J145" s="30" t="s">
        <v>317</v>
      </c>
    </row>
    <row r="146" spans="1:10" ht="18.75" hidden="1" x14ac:dyDescent="0.3">
      <c r="A146" s="30" t="s">
        <v>84</v>
      </c>
      <c r="B146" s="33">
        <v>92</v>
      </c>
      <c r="C146" s="33">
        <f t="shared" si="32"/>
        <v>96.6</v>
      </c>
      <c r="D146" s="33">
        <f t="shared" si="33"/>
        <v>100.464</v>
      </c>
      <c r="E146" s="33">
        <f t="shared" si="34"/>
        <v>104.48256000000001</v>
      </c>
      <c r="F146" s="34">
        <f t="shared" si="35"/>
        <v>112.84116480000002</v>
      </c>
      <c r="G146" s="34">
        <f t="shared" si="36"/>
        <v>121.86845798400003</v>
      </c>
      <c r="H146" s="34">
        <f t="shared" si="37"/>
        <v>127.96188088320004</v>
      </c>
      <c r="I146" s="32"/>
      <c r="J146" s="30" t="s">
        <v>317</v>
      </c>
    </row>
    <row r="147" spans="1:10" ht="18.75" hidden="1" x14ac:dyDescent="0.3">
      <c r="A147" s="30"/>
      <c r="B147" s="33"/>
      <c r="C147" s="33"/>
      <c r="D147" s="33"/>
      <c r="E147" s="33"/>
      <c r="F147" s="34">
        <f t="shared" si="35"/>
        <v>0</v>
      </c>
      <c r="G147" s="34">
        <f t="shared" si="36"/>
        <v>0</v>
      </c>
      <c r="H147" s="34">
        <f t="shared" si="37"/>
        <v>0</v>
      </c>
      <c r="I147" s="32"/>
      <c r="J147" s="30" t="s">
        <v>317</v>
      </c>
    </row>
    <row r="148" spans="1:10" ht="18.75" hidden="1" x14ac:dyDescent="0.3">
      <c r="A148" s="30" t="s">
        <v>85</v>
      </c>
      <c r="B148" s="33">
        <v>176</v>
      </c>
      <c r="C148" s="33">
        <f t="shared" si="32"/>
        <v>184.8</v>
      </c>
      <c r="D148" s="33">
        <f>C148*$C$15</f>
        <v>192.19200000000001</v>
      </c>
      <c r="E148" s="33">
        <f>D148*1.04</f>
        <v>199.87968000000001</v>
      </c>
      <c r="F148" s="34">
        <f t="shared" si="35"/>
        <v>215.87005440000001</v>
      </c>
      <c r="G148" s="34">
        <f t="shared" si="36"/>
        <v>233.13965875200003</v>
      </c>
      <c r="H148" s="34">
        <f t="shared" si="37"/>
        <v>244.79664168960005</v>
      </c>
      <c r="I148" s="32"/>
      <c r="J148" s="30" t="s">
        <v>317</v>
      </c>
    </row>
    <row r="149" spans="1:10" ht="18.75" hidden="1" x14ac:dyDescent="0.3">
      <c r="A149" s="30" t="s">
        <v>86</v>
      </c>
      <c r="B149" s="33">
        <v>158</v>
      </c>
      <c r="C149" s="33">
        <f t="shared" si="32"/>
        <v>165.9</v>
      </c>
      <c r="D149" s="33">
        <f>C149*$C$15</f>
        <v>172.536</v>
      </c>
      <c r="E149" s="33">
        <f>D149*1.04</f>
        <v>179.43744000000001</v>
      </c>
      <c r="F149" s="34">
        <f t="shared" si="35"/>
        <v>193.79243520000003</v>
      </c>
      <c r="G149" s="34">
        <f t="shared" si="36"/>
        <v>209.29583001600005</v>
      </c>
      <c r="H149" s="34">
        <f t="shared" si="37"/>
        <v>219.76062151680006</v>
      </c>
      <c r="I149" s="32"/>
      <c r="J149" s="30" t="s">
        <v>317</v>
      </c>
    </row>
    <row r="150" spans="1:10" ht="18.75" hidden="1" x14ac:dyDescent="0.3">
      <c r="A150" s="30" t="s">
        <v>87</v>
      </c>
      <c r="B150" s="33">
        <v>143</v>
      </c>
      <c r="C150" s="33">
        <f t="shared" si="32"/>
        <v>150.15</v>
      </c>
      <c r="D150" s="33">
        <f>C150*$C$15</f>
        <v>156.15600000000001</v>
      </c>
      <c r="E150" s="33">
        <f>D150*1.04</f>
        <v>162.40224000000001</v>
      </c>
      <c r="F150" s="34">
        <f t="shared" si="35"/>
        <v>175.39441920000002</v>
      </c>
      <c r="G150" s="34">
        <f t="shared" si="36"/>
        <v>189.42597273600003</v>
      </c>
      <c r="H150" s="34">
        <f t="shared" si="37"/>
        <v>198.89727137280005</v>
      </c>
      <c r="I150" s="32"/>
      <c r="J150" s="30" t="s">
        <v>317</v>
      </c>
    </row>
    <row r="151" spans="1:10" ht="18.75" hidden="1" x14ac:dyDescent="0.3">
      <c r="A151" s="30"/>
      <c r="B151" s="33"/>
      <c r="C151" s="33"/>
      <c r="D151" s="33"/>
      <c r="E151" s="33"/>
      <c r="F151" s="34"/>
      <c r="G151" s="34"/>
      <c r="H151" s="34"/>
      <c r="I151" s="32"/>
      <c r="J151" s="30"/>
    </row>
    <row r="152" spans="1:10" ht="18.75" hidden="1" x14ac:dyDescent="0.3">
      <c r="A152" s="30"/>
      <c r="B152" s="33"/>
      <c r="C152" s="33"/>
      <c r="D152" s="33"/>
      <c r="E152" s="33"/>
      <c r="F152" s="34"/>
      <c r="G152" s="34"/>
      <c r="H152" s="34"/>
      <c r="I152" s="32"/>
      <c r="J152" s="30"/>
    </row>
    <row r="153" spans="1:10" ht="18.75" hidden="1" x14ac:dyDescent="0.3">
      <c r="A153" s="30"/>
      <c r="B153" s="33"/>
      <c r="C153" s="33"/>
      <c r="D153" s="33"/>
      <c r="E153" s="33"/>
      <c r="F153" s="34"/>
      <c r="G153" s="34"/>
      <c r="H153" s="34"/>
      <c r="I153" s="32"/>
      <c r="J153" s="30"/>
    </row>
    <row r="154" spans="1:10" ht="18.75" hidden="1" x14ac:dyDescent="0.3">
      <c r="A154" s="30"/>
      <c r="B154" s="33"/>
      <c r="C154" s="33"/>
      <c r="D154" s="33"/>
      <c r="E154" s="33"/>
      <c r="F154" s="34"/>
      <c r="G154" s="34"/>
      <c r="H154" s="34"/>
      <c r="I154" s="32"/>
      <c r="J154" s="30"/>
    </row>
    <row r="155" spans="1:10" ht="18.75" hidden="1" x14ac:dyDescent="0.3">
      <c r="A155" s="30"/>
      <c r="B155" s="33"/>
      <c r="C155" s="33"/>
      <c r="D155" s="33"/>
      <c r="E155" s="33"/>
      <c r="F155" s="34"/>
      <c r="G155" s="34"/>
      <c r="H155" s="34"/>
      <c r="I155" s="32"/>
      <c r="J155" s="30"/>
    </row>
    <row r="156" spans="1:10" ht="18.75" hidden="1" x14ac:dyDescent="0.3">
      <c r="A156" s="30"/>
      <c r="B156" s="33"/>
      <c r="C156" s="33"/>
      <c r="D156" s="33"/>
      <c r="E156" s="33"/>
      <c r="F156" s="34"/>
      <c r="G156" s="34"/>
      <c r="H156" s="34"/>
      <c r="I156" s="32"/>
      <c r="J156" s="30"/>
    </row>
    <row r="157" spans="1:10" ht="18.75" hidden="1" x14ac:dyDescent="0.3">
      <c r="A157" s="30"/>
      <c r="B157" s="33"/>
      <c r="C157" s="33"/>
      <c r="D157" s="33"/>
      <c r="E157" s="33"/>
      <c r="F157" s="34"/>
      <c r="G157" s="34"/>
      <c r="H157" s="34"/>
      <c r="I157" s="32"/>
      <c r="J157" s="30"/>
    </row>
    <row r="158" spans="1:10" ht="18.75" hidden="1" x14ac:dyDescent="0.3">
      <c r="A158" s="30"/>
      <c r="B158" s="33"/>
      <c r="C158" s="33"/>
      <c r="D158" s="33"/>
      <c r="E158" s="33"/>
      <c r="F158" s="34"/>
      <c r="G158" s="34"/>
      <c r="H158" s="34"/>
      <c r="I158" s="32"/>
      <c r="J158" s="30"/>
    </row>
    <row r="159" spans="1:10" ht="18.75" hidden="1" x14ac:dyDescent="0.3">
      <c r="A159" s="30"/>
      <c r="B159" s="33"/>
      <c r="C159" s="33"/>
      <c r="D159" s="33"/>
      <c r="E159" s="33"/>
      <c r="F159" s="34"/>
      <c r="G159" s="34"/>
      <c r="H159" s="34"/>
      <c r="I159" s="32"/>
      <c r="J159" s="30"/>
    </row>
    <row r="160" spans="1:10" ht="16.5" hidden="1" customHeight="1" x14ac:dyDescent="0.3">
      <c r="A160" s="30"/>
      <c r="B160" s="33"/>
      <c r="C160" s="33"/>
      <c r="D160" s="33"/>
      <c r="E160" s="33"/>
      <c r="F160" s="34"/>
      <c r="G160" s="34"/>
      <c r="H160" s="34"/>
      <c r="I160" s="32"/>
      <c r="J160" s="30"/>
    </row>
    <row r="161" spans="1:13" ht="20.25" hidden="1" x14ac:dyDescent="0.3">
      <c r="A161" s="58" t="s">
        <v>321</v>
      </c>
      <c r="B161" s="58"/>
      <c r="C161" s="58"/>
      <c r="D161" s="58"/>
      <c r="E161" s="58"/>
      <c r="F161" s="58"/>
      <c r="G161" s="58"/>
      <c r="H161" s="58"/>
      <c r="I161" s="58"/>
      <c r="J161" s="46"/>
    </row>
    <row r="162" spans="1:13" ht="18.75" hidden="1" x14ac:dyDescent="0.3">
      <c r="A162" s="30" t="s">
        <v>152</v>
      </c>
      <c r="B162" s="33"/>
      <c r="C162" s="33"/>
      <c r="D162" s="33">
        <v>762.4</v>
      </c>
      <c r="E162" s="33">
        <f t="shared" ref="E162:E167" si="38">D162*1.04</f>
        <v>792.89599999999996</v>
      </c>
      <c r="F162" s="34">
        <f t="shared" ref="F162:F167" si="39">E162*$F$2</f>
        <v>856.32767999999999</v>
      </c>
      <c r="G162" s="34">
        <f t="shared" ref="G162:G167" si="40">+F162*$G$6</f>
        <v>924.83389440000008</v>
      </c>
      <c r="H162" s="34"/>
      <c r="I162" s="32"/>
      <c r="J162" s="30" t="s">
        <v>317</v>
      </c>
      <c r="K162" s="17"/>
      <c r="L162" s="17"/>
      <c r="M162" s="17"/>
    </row>
    <row r="163" spans="1:13" ht="18.75" hidden="1" x14ac:dyDescent="0.3">
      <c r="A163" s="30" t="s">
        <v>148</v>
      </c>
      <c r="B163" s="33"/>
      <c r="C163" s="33"/>
      <c r="D163" s="33">
        <v>111.38</v>
      </c>
      <c r="E163" s="33">
        <f t="shared" si="38"/>
        <v>115.8352</v>
      </c>
      <c r="F163" s="34">
        <f t="shared" si="39"/>
        <v>125.10201600000001</v>
      </c>
      <c r="G163" s="34">
        <f t="shared" si="40"/>
        <v>135.11017728000002</v>
      </c>
      <c r="H163" s="34"/>
      <c r="I163" s="32"/>
      <c r="J163" s="30" t="s">
        <v>317</v>
      </c>
    </row>
    <row r="164" spans="1:13" ht="37.5" hidden="1" x14ac:dyDescent="0.3">
      <c r="A164" s="35" t="s">
        <v>149</v>
      </c>
      <c r="B164" s="33"/>
      <c r="C164" s="33"/>
      <c r="D164" s="33">
        <v>192.19</v>
      </c>
      <c r="E164" s="33">
        <f t="shared" si="38"/>
        <v>199.8776</v>
      </c>
      <c r="F164" s="34">
        <f t="shared" si="39"/>
        <v>215.86780800000003</v>
      </c>
      <c r="G164" s="34">
        <f t="shared" si="40"/>
        <v>233.13723264000004</v>
      </c>
      <c r="H164" s="34"/>
      <c r="I164" s="32"/>
      <c r="J164" s="30" t="s">
        <v>317</v>
      </c>
    </row>
    <row r="165" spans="1:13" ht="18.75" hidden="1" x14ac:dyDescent="0.3">
      <c r="A165" s="30" t="s">
        <v>336</v>
      </c>
      <c r="B165" s="33"/>
      <c r="C165" s="33"/>
      <c r="D165" s="33">
        <v>1378</v>
      </c>
      <c r="E165" s="33">
        <f t="shared" si="38"/>
        <v>1433.1200000000001</v>
      </c>
      <c r="F165" s="34">
        <f t="shared" si="39"/>
        <v>1547.7696000000003</v>
      </c>
      <c r="G165" s="34">
        <f t="shared" si="40"/>
        <v>1671.5911680000004</v>
      </c>
      <c r="H165" s="34"/>
      <c r="I165" s="32"/>
      <c r="J165" s="30" t="s">
        <v>317</v>
      </c>
    </row>
    <row r="166" spans="1:13" ht="18.75" hidden="1" x14ac:dyDescent="0.3">
      <c r="A166" s="30" t="s">
        <v>150</v>
      </c>
      <c r="B166" s="33"/>
      <c r="C166" s="33"/>
      <c r="D166" s="33">
        <v>192.19</v>
      </c>
      <c r="E166" s="33">
        <f t="shared" si="38"/>
        <v>199.8776</v>
      </c>
      <c r="F166" s="34">
        <f t="shared" si="39"/>
        <v>215.86780800000003</v>
      </c>
      <c r="G166" s="34">
        <f t="shared" si="40"/>
        <v>233.13723264000004</v>
      </c>
      <c r="H166" s="34"/>
      <c r="I166" s="32"/>
      <c r="J166" s="30" t="s">
        <v>317</v>
      </c>
    </row>
    <row r="167" spans="1:13" ht="18.75" hidden="1" x14ac:dyDescent="0.3">
      <c r="A167" s="30" t="s">
        <v>151</v>
      </c>
      <c r="B167" s="33"/>
      <c r="C167" s="33"/>
      <c r="D167" s="33">
        <v>200</v>
      </c>
      <c r="E167" s="33">
        <f t="shared" si="38"/>
        <v>208</v>
      </c>
      <c r="F167" s="34">
        <f t="shared" si="39"/>
        <v>224.64000000000001</v>
      </c>
      <c r="G167" s="34">
        <f t="shared" si="40"/>
        <v>242.61120000000003</v>
      </c>
      <c r="H167" s="34"/>
      <c r="I167" s="32"/>
      <c r="J167" s="30" t="s">
        <v>317</v>
      </c>
    </row>
    <row r="168" spans="1:13" ht="4.5" hidden="1" customHeight="1" x14ac:dyDescent="0.25">
      <c r="A168" s="10"/>
      <c r="C168" s="11"/>
      <c r="D168" s="11"/>
      <c r="E168" s="11"/>
      <c r="F168" s="18"/>
      <c r="G168" s="18"/>
      <c r="H168" s="18"/>
    </row>
    <row r="169" spans="1:13" ht="20.25" hidden="1" x14ac:dyDescent="0.3">
      <c r="A169" s="58" t="s">
        <v>322</v>
      </c>
      <c r="B169" s="58"/>
      <c r="C169" s="58"/>
      <c r="D169" s="58"/>
      <c r="E169" s="58"/>
      <c r="F169" s="58"/>
      <c r="G169" s="58"/>
      <c r="H169" s="58"/>
      <c r="I169" s="58"/>
      <c r="J169" s="16"/>
    </row>
    <row r="170" spans="1:13" ht="18.75" hidden="1" x14ac:dyDescent="0.3">
      <c r="A170" s="32" t="s">
        <v>130</v>
      </c>
      <c r="B170" s="32"/>
      <c r="C170" s="32"/>
      <c r="D170" s="33">
        <v>536.34</v>
      </c>
      <c r="E170" s="33">
        <f t="shared" ref="E170:E185" si="41">D170*1.04</f>
        <v>557.79360000000008</v>
      </c>
      <c r="F170" s="34">
        <f>E170*1.08</f>
        <v>602.41708800000015</v>
      </c>
      <c r="G170" s="34">
        <f t="shared" ref="G170:G185" si="42">+F170*$G$6</f>
        <v>650.61045504000015</v>
      </c>
      <c r="H170" s="34"/>
      <c r="I170" s="32"/>
      <c r="J170" s="30" t="s">
        <v>317</v>
      </c>
    </row>
    <row r="171" spans="1:13" ht="18.75" hidden="1" x14ac:dyDescent="0.3">
      <c r="A171" s="32" t="s">
        <v>131</v>
      </c>
      <c r="B171" s="32"/>
      <c r="C171" s="32"/>
      <c r="D171" s="33">
        <v>2.8530000000000002</v>
      </c>
      <c r="E171" s="31">
        <f t="shared" si="41"/>
        <v>2.9671200000000004</v>
      </c>
      <c r="F171" s="31">
        <f t="shared" ref="F171:F203" si="43">E171*1.08</f>
        <v>3.2044896000000005</v>
      </c>
      <c r="G171" s="31">
        <f t="shared" si="42"/>
        <v>3.4608487680000009</v>
      </c>
      <c r="H171" s="31"/>
      <c r="I171" s="32"/>
      <c r="J171" s="30" t="s">
        <v>317</v>
      </c>
    </row>
    <row r="172" spans="1:13" ht="18.75" hidden="1" x14ac:dyDescent="0.3">
      <c r="A172" s="32" t="s">
        <v>132</v>
      </c>
      <c r="B172" s="32"/>
      <c r="C172" s="32"/>
      <c r="D172" s="33">
        <v>2.2999999999999998</v>
      </c>
      <c r="E172" s="31">
        <f t="shared" si="41"/>
        <v>2.3919999999999999</v>
      </c>
      <c r="F172" s="31">
        <f t="shared" si="43"/>
        <v>2.5833599999999999</v>
      </c>
      <c r="G172" s="31">
        <f t="shared" si="42"/>
        <v>2.7900288</v>
      </c>
      <c r="H172" s="31"/>
      <c r="I172" s="32"/>
      <c r="J172" s="30" t="s">
        <v>317</v>
      </c>
    </row>
    <row r="173" spans="1:13" ht="18.75" hidden="1" x14ac:dyDescent="0.3">
      <c r="A173" s="32" t="s">
        <v>133</v>
      </c>
      <c r="B173" s="32"/>
      <c r="C173" s="32"/>
      <c r="D173" s="33">
        <v>2.1080000000000001</v>
      </c>
      <c r="E173" s="31">
        <f t="shared" si="41"/>
        <v>2.19232</v>
      </c>
      <c r="F173" s="31">
        <f t="shared" si="43"/>
        <v>2.3677056000000003</v>
      </c>
      <c r="G173" s="31">
        <f t="shared" si="42"/>
        <v>2.5571220480000005</v>
      </c>
      <c r="H173" s="31"/>
      <c r="I173" s="32"/>
      <c r="J173" s="30" t="s">
        <v>317</v>
      </c>
    </row>
    <row r="174" spans="1:13" ht="18.75" hidden="1" x14ac:dyDescent="0.3">
      <c r="A174" s="32" t="s">
        <v>134</v>
      </c>
      <c r="B174" s="32"/>
      <c r="C174" s="32"/>
      <c r="D174" s="33">
        <v>1.9319999999999999</v>
      </c>
      <c r="E174" s="31">
        <f t="shared" si="41"/>
        <v>2.00928</v>
      </c>
      <c r="F174" s="31">
        <f t="shared" si="43"/>
        <v>2.1700224000000001</v>
      </c>
      <c r="G174" s="31">
        <f t="shared" si="42"/>
        <v>2.3436241920000005</v>
      </c>
      <c r="H174" s="31"/>
      <c r="I174" s="32"/>
      <c r="J174" s="30" t="s">
        <v>317</v>
      </c>
    </row>
    <row r="175" spans="1:13" ht="18.75" hidden="1" x14ac:dyDescent="0.3">
      <c r="A175" s="32" t="s">
        <v>135</v>
      </c>
      <c r="B175" s="32"/>
      <c r="C175" s="32"/>
      <c r="D175" s="33">
        <v>1.899</v>
      </c>
      <c r="E175" s="31">
        <f t="shared" si="41"/>
        <v>1.97496</v>
      </c>
      <c r="F175" s="31">
        <f t="shared" si="43"/>
        <v>2.1329568000000001</v>
      </c>
      <c r="G175" s="31">
        <f t="shared" si="42"/>
        <v>2.3035933440000003</v>
      </c>
      <c r="H175" s="31"/>
      <c r="I175" s="32"/>
      <c r="J175" s="30" t="s">
        <v>317</v>
      </c>
    </row>
    <row r="176" spans="1:13" ht="18.75" hidden="1" x14ac:dyDescent="0.3">
      <c r="A176" s="32" t="s">
        <v>136</v>
      </c>
      <c r="B176" s="32"/>
      <c r="C176" s="32"/>
      <c r="D176" s="33">
        <v>1.873</v>
      </c>
      <c r="E176" s="31">
        <f t="shared" si="41"/>
        <v>1.9479200000000001</v>
      </c>
      <c r="F176" s="31">
        <f t="shared" si="43"/>
        <v>2.1037536000000001</v>
      </c>
      <c r="G176" s="31">
        <f t="shared" si="42"/>
        <v>2.2720538880000003</v>
      </c>
      <c r="H176" s="31"/>
      <c r="I176" s="32"/>
      <c r="J176" s="30" t="s">
        <v>317</v>
      </c>
    </row>
    <row r="177" spans="1:10" ht="18.75" hidden="1" x14ac:dyDescent="0.3">
      <c r="A177" s="32" t="s">
        <v>137</v>
      </c>
      <c r="B177" s="32"/>
      <c r="C177" s="32"/>
      <c r="D177" s="33">
        <v>1.8080000000000001</v>
      </c>
      <c r="E177" s="31">
        <f t="shared" si="41"/>
        <v>1.8803200000000002</v>
      </c>
      <c r="F177" s="31">
        <f t="shared" si="43"/>
        <v>2.0307456000000004</v>
      </c>
      <c r="G177" s="31">
        <f t="shared" si="42"/>
        <v>2.1932052480000004</v>
      </c>
      <c r="H177" s="31"/>
      <c r="I177" s="32"/>
      <c r="J177" s="30" t="s">
        <v>317</v>
      </c>
    </row>
    <row r="178" spans="1:10" ht="18.75" hidden="1" x14ac:dyDescent="0.3">
      <c r="A178" s="32" t="s">
        <v>138</v>
      </c>
      <c r="B178" s="32"/>
      <c r="C178" s="32"/>
      <c r="D178" s="33">
        <v>537.26</v>
      </c>
      <c r="E178" s="33">
        <f t="shared" si="41"/>
        <v>558.75040000000001</v>
      </c>
      <c r="F178" s="34">
        <f t="shared" si="43"/>
        <v>603.45043200000009</v>
      </c>
      <c r="G178" s="34">
        <f t="shared" si="42"/>
        <v>651.72646656000018</v>
      </c>
      <c r="H178" s="34"/>
      <c r="I178" s="32"/>
      <c r="J178" s="30" t="s">
        <v>317</v>
      </c>
    </row>
    <row r="179" spans="1:10" ht="18.75" hidden="1" x14ac:dyDescent="0.3">
      <c r="A179" s="32" t="s">
        <v>139</v>
      </c>
      <c r="B179" s="32"/>
      <c r="C179" s="32"/>
      <c r="D179" s="33">
        <v>669.39</v>
      </c>
      <c r="E179" s="33">
        <f t="shared" si="41"/>
        <v>696.16560000000004</v>
      </c>
      <c r="F179" s="34">
        <f t="shared" si="43"/>
        <v>751.85884800000008</v>
      </c>
      <c r="G179" s="34">
        <f t="shared" si="42"/>
        <v>812.00755584000012</v>
      </c>
      <c r="H179" s="34"/>
      <c r="I179" s="32"/>
      <c r="J179" s="30" t="s">
        <v>317</v>
      </c>
    </row>
    <row r="180" spans="1:10" ht="18.75" hidden="1" x14ac:dyDescent="0.3">
      <c r="A180" s="32" t="s">
        <v>140</v>
      </c>
      <c r="B180" s="32"/>
      <c r="C180" s="32"/>
      <c r="D180" s="33">
        <v>273</v>
      </c>
      <c r="E180" s="33">
        <f t="shared" si="41"/>
        <v>283.92</v>
      </c>
      <c r="F180" s="34">
        <f t="shared" si="43"/>
        <v>306.63360000000006</v>
      </c>
      <c r="G180" s="34">
        <f t="shared" si="42"/>
        <v>331.16428800000011</v>
      </c>
      <c r="H180" s="34"/>
      <c r="I180" s="32"/>
      <c r="J180" s="30" t="s">
        <v>317</v>
      </c>
    </row>
    <row r="181" spans="1:10" ht="18.75" hidden="1" x14ac:dyDescent="0.3">
      <c r="A181" s="32" t="s">
        <v>141</v>
      </c>
      <c r="B181" s="32"/>
      <c r="C181" s="32"/>
      <c r="D181" s="33">
        <v>305.76</v>
      </c>
      <c r="E181" s="33">
        <f t="shared" si="41"/>
        <v>317.99040000000002</v>
      </c>
      <c r="F181" s="34">
        <f t="shared" si="43"/>
        <v>343.42963200000003</v>
      </c>
      <c r="G181" s="34">
        <f t="shared" si="42"/>
        <v>370.90400256000004</v>
      </c>
      <c r="H181" s="34"/>
      <c r="I181" s="32"/>
      <c r="J181" s="30" t="s">
        <v>317</v>
      </c>
    </row>
    <row r="182" spans="1:10" ht="18.75" hidden="1" x14ac:dyDescent="0.3">
      <c r="A182" s="32" t="s">
        <v>142</v>
      </c>
      <c r="B182" s="32"/>
      <c r="C182" s="32"/>
      <c r="D182" s="33">
        <v>311.22000000000003</v>
      </c>
      <c r="E182" s="33">
        <f t="shared" si="41"/>
        <v>323.66880000000003</v>
      </c>
      <c r="F182" s="34">
        <f t="shared" si="43"/>
        <v>349.56230400000004</v>
      </c>
      <c r="G182" s="34">
        <f t="shared" si="42"/>
        <v>377.52728832000008</v>
      </c>
      <c r="H182" s="34"/>
      <c r="I182" s="32"/>
      <c r="J182" s="30" t="s">
        <v>317</v>
      </c>
    </row>
    <row r="183" spans="1:10" ht="18.75" hidden="1" x14ac:dyDescent="0.3">
      <c r="A183" s="32" t="s">
        <v>143</v>
      </c>
      <c r="B183" s="32"/>
      <c r="C183" s="32"/>
      <c r="D183" s="33"/>
      <c r="E183" s="33">
        <v>598.66</v>
      </c>
      <c r="F183" s="33">
        <v>642.75</v>
      </c>
      <c r="G183" s="33">
        <v>692.98</v>
      </c>
      <c r="H183" s="33"/>
      <c r="I183" s="32"/>
      <c r="J183" s="30" t="s">
        <v>317</v>
      </c>
    </row>
    <row r="184" spans="1:10" ht="18.75" hidden="1" x14ac:dyDescent="0.3">
      <c r="A184" s="32" t="s">
        <v>144</v>
      </c>
      <c r="B184" s="32"/>
      <c r="C184" s="32"/>
      <c r="D184" s="33">
        <v>119.03</v>
      </c>
      <c r="E184" s="33">
        <f t="shared" si="41"/>
        <v>123.7912</v>
      </c>
      <c r="F184" s="34">
        <f t="shared" si="43"/>
        <v>133.69449600000002</v>
      </c>
      <c r="G184" s="34">
        <f t="shared" si="42"/>
        <v>144.39005568000002</v>
      </c>
      <c r="H184" s="34"/>
      <c r="I184" s="32"/>
      <c r="J184" s="30" t="s">
        <v>317</v>
      </c>
    </row>
    <row r="185" spans="1:10" ht="18.75" hidden="1" x14ac:dyDescent="0.3">
      <c r="A185" s="32" t="s">
        <v>145</v>
      </c>
      <c r="B185" s="32"/>
      <c r="C185" s="32"/>
      <c r="D185" s="33">
        <v>260</v>
      </c>
      <c r="E185" s="33">
        <f t="shared" si="41"/>
        <v>270.40000000000003</v>
      </c>
      <c r="F185" s="34">
        <f t="shared" si="43"/>
        <v>292.03200000000004</v>
      </c>
      <c r="G185" s="34">
        <f t="shared" si="42"/>
        <v>315.39456000000007</v>
      </c>
      <c r="H185" s="34"/>
      <c r="I185" s="32"/>
      <c r="J185" s="30" t="s">
        <v>317</v>
      </c>
    </row>
    <row r="186" spans="1:10" ht="4.5" hidden="1" customHeight="1" x14ac:dyDescent="0.25">
      <c r="D186" s="11"/>
      <c r="E186" s="11"/>
      <c r="F186" s="18"/>
      <c r="G186" s="18"/>
      <c r="H186" s="18"/>
    </row>
    <row r="187" spans="1:10" ht="20.25" hidden="1" x14ac:dyDescent="0.3">
      <c r="A187" s="58" t="s">
        <v>323</v>
      </c>
      <c r="B187" s="58"/>
      <c r="C187" s="58"/>
      <c r="D187" s="58"/>
      <c r="E187" s="58"/>
      <c r="F187" s="58"/>
      <c r="G187" s="58"/>
      <c r="H187" s="58"/>
      <c r="I187" s="58"/>
      <c r="J187" s="30"/>
    </row>
    <row r="188" spans="1:10" ht="18.75" hidden="1" x14ac:dyDescent="0.3">
      <c r="A188" s="32" t="s">
        <v>200</v>
      </c>
      <c r="B188" s="32"/>
      <c r="C188" s="32"/>
      <c r="D188" s="33">
        <v>928.2</v>
      </c>
      <c r="E188" s="33">
        <f t="shared" ref="E188:E203" si="44">D188*1.04</f>
        <v>965.32800000000009</v>
      </c>
      <c r="F188" s="34">
        <f t="shared" si="43"/>
        <v>1042.5542400000002</v>
      </c>
      <c r="G188" s="34">
        <f t="shared" ref="G188:G203" si="45">+F188*$G$6</f>
        <v>1125.9585792000003</v>
      </c>
      <c r="H188" s="34"/>
      <c r="I188" s="32"/>
      <c r="J188" s="30" t="s">
        <v>317</v>
      </c>
    </row>
    <row r="189" spans="1:10" ht="18.75" hidden="1" x14ac:dyDescent="0.3">
      <c r="A189" s="32" t="s">
        <v>201</v>
      </c>
      <c r="B189" s="32"/>
      <c r="C189" s="32"/>
      <c r="D189" s="33">
        <v>1092</v>
      </c>
      <c r="E189" s="33">
        <f t="shared" si="44"/>
        <v>1135.68</v>
      </c>
      <c r="F189" s="34">
        <f t="shared" si="43"/>
        <v>1226.5344000000002</v>
      </c>
      <c r="G189" s="34">
        <f t="shared" si="45"/>
        <v>1324.6571520000005</v>
      </c>
      <c r="H189" s="34"/>
      <c r="I189" s="32"/>
      <c r="J189" s="30" t="s">
        <v>317</v>
      </c>
    </row>
    <row r="190" spans="1:10" ht="18.75" hidden="1" x14ac:dyDescent="0.3">
      <c r="A190" s="32" t="s">
        <v>202</v>
      </c>
      <c r="B190" s="32"/>
      <c r="C190" s="32"/>
      <c r="D190" s="33">
        <v>1419.6</v>
      </c>
      <c r="E190" s="33">
        <f t="shared" si="44"/>
        <v>1476.384</v>
      </c>
      <c r="F190" s="34">
        <f t="shared" si="43"/>
        <v>1594.4947200000001</v>
      </c>
      <c r="G190" s="34">
        <f t="shared" si="45"/>
        <v>1722.0542976000002</v>
      </c>
      <c r="H190" s="34"/>
      <c r="I190" s="32"/>
      <c r="J190" s="30" t="s">
        <v>317</v>
      </c>
    </row>
    <row r="191" spans="1:10" ht="18.75" hidden="1" x14ac:dyDescent="0.3">
      <c r="A191" s="32" t="s">
        <v>203</v>
      </c>
      <c r="B191" s="32"/>
      <c r="C191" s="32"/>
      <c r="D191" s="33">
        <v>1092</v>
      </c>
      <c r="E191" s="33">
        <f t="shared" si="44"/>
        <v>1135.68</v>
      </c>
      <c r="F191" s="34">
        <f t="shared" si="43"/>
        <v>1226.5344000000002</v>
      </c>
      <c r="G191" s="34">
        <f t="shared" si="45"/>
        <v>1324.6571520000005</v>
      </c>
      <c r="H191" s="34"/>
      <c r="I191" s="32"/>
      <c r="J191" s="30" t="s">
        <v>317</v>
      </c>
    </row>
    <row r="192" spans="1:10" ht="18.75" hidden="1" x14ac:dyDescent="0.3">
      <c r="A192" s="32" t="s">
        <v>204</v>
      </c>
      <c r="B192" s="32"/>
      <c r="C192" s="32"/>
      <c r="D192" s="33">
        <v>1146.5999999999999</v>
      </c>
      <c r="E192" s="33">
        <f t="shared" si="44"/>
        <v>1192.4639999999999</v>
      </c>
      <c r="F192" s="34">
        <f t="shared" si="43"/>
        <v>1287.86112</v>
      </c>
      <c r="G192" s="34">
        <f t="shared" si="45"/>
        <v>1390.8900096000002</v>
      </c>
      <c r="H192" s="34"/>
      <c r="I192" s="32"/>
      <c r="J192" s="30" t="s">
        <v>317</v>
      </c>
    </row>
    <row r="193" spans="1:10" ht="18.75" hidden="1" x14ac:dyDescent="0.3">
      <c r="A193" s="32" t="s">
        <v>205</v>
      </c>
      <c r="B193" s="32"/>
      <c r="C193" s="32"/>
      <c r="D193" s="33">
        <v>1092</v>
      </c>
      <c r="E193" s="33">
        <f t="shared" si="44"/>
        <v>1135.68</v>
      </c>
      <c r="F193" s="34">
        <f t="shared" si="43"/>
        <v>1226.5344000000002</v>
      </c>
      <c r="G193" s="34">
        <f t="shared" si="45"/>
        <v>1324.6571520000005</v>
      </c>
      <c r="H193" s="34"/>
      <c r="I193" s="32"/>
      <c r="J193" s="30" t="s">
        <v>317</v>
      </c>
    </row>
    <row r="194" spans="1:10" ht="18.75" hidden="1" x14ac:dyDescent="0.3">
      <c r="A194" s="32" t="s">
        <v>206</v>
      </c>
      <c r="B194" s="32"/>
      <c r="C194" s="32"/>
      <c r="D194" s="33">
        <v>1092</v>
      </c>
      <c r="E194" s="33">
        <f t="shared" si="44"/>
        <v>1135.68</v>
      </c>
      <c r="F194" s="34">
        <f t="shared" si="43"/>
        <v>1226.5344000000002</v>
      </c>
      <c r="G194" s="34">
        <f t="shared" si="45"/>
        <v>1324.6571520000005</v>
      </c>
      <c r="H194" s="34"/>
      <c r="I194" s="32"/>
      <c r="J194" s="30" t="s">
        <v>317</v>
      </c>
    </row>
    <row r="195" spans="1:10" ht="18.75" hidden="1" x14ac:dyDescent="0.3">
      <c r="A195" s="32" t="s">
        <v>207</v>
      </c>
      <c r="B195" s="32"/>
      <c r="C195" s="32"/>
      <c r="D195" s="33">
        <v>1092</v>
      </c>
      <c r="E195" s="33">
        <f t="shared" si="44"/>
        <v>1135.68</v>
      </c>
      <c r="F195" s="34">
        <f t="shared" si="43"/>
        <v>1226.5344000000002</v>
      </c>
      <c r="G195" s="34">
        <f t="shared" si="45"/>
        <v>1324.6571520000005</v>
      </c>
      <c r="H195" s="34"/>
      <c r="I195" s="32"/>
      <c r="J195" s="30" t="s">
        <v>317</v>
      </c>
    </row>
    <row r="196" spans="1:10" ht="18.75" hidden="1" x14ac:dyDescent="0.3">
      <c r="A196" s="32" t="s">
        <v>208</v>
      </c>
      <c r="B196" s="32"/>
      <c r="C196" s="32"/>
      <c r="D196" s="33">
        <v>1092</v>
      </c>
      <c r="E196" s="33">
        <f t="shared" si="44"/>
        <v>1135.68</v>
      </c>
      <c r="F196" s="34">
        <f t="shared" si="43"/>
        <v>1226.5344000000002</v>
      </c>
      <c r="G196" s="34">
        <f t="shared" si="45"/>
        <v>1324.6571520000005</v>
      </c>
      <c r="H196" s="34"/>
      <c r="I196" s="32"/>
      <c r="J196" s="30" t="s">
        <v>317</v>
      </c>
    </row>
    <row r="197" spans="1:10" ht="18.75" hidden="1" x14ac:dyDescent="0.3">
      <c r="A197" s="32" t="s">
        <v>209</v>
      </c>
      <c r="B197" s="32"/>
      <c r="C197" s="32"/>
      <c r="D197" s="33">
        <v>1092</v>
      </c>
      <c r="E197" s="33">
        <f t="shared" si="44"/>
        <v>1135.68</v>
      </c>
      <c r="F197" s="34">
        <f t="shared" si="43"/>
        <v>1226.5344000000002</v>
      </c>
      <c r="G197" s="34">
        <f t="shared" si="45"/>
        <v>1324.6571520000005</v>
      </c>
      <c r="H197" s="34"/>
      <c r="I197" s="32"/>
      <c r="J197" s="30" t="s">
        <v>317</v>
      </c>
    </row>
    <row r="198" spans="1:10" ht="18.75" hidden="1" x14ac:dyDescent="0.3">
      <c r="A198" s="32" t="s">
        <v>210</v>
      </c>
      <c r="B198" s="32"/>
      <c r="C198" s="32"/>
      <c r="D198" s="33">
        <v>1474.2</v>
      </c>
      <c r="E198" s="33">
        <f t="shared" si="44"/>
        <v>1533.1680000000001</v>
      </c>
      <c r="F198" s="34">
        <f t="shared" si="43"/>
        <v>1655.8214400000002</v>
      </c>
      <c r="G198" s="34">
        <f t="shared" si="45"/>
        <v>1788.2871552000004</v>
      </c>
      <c r="H198" s="34"/>
      <c r="I198" s="32"/>
      <c r="J198" s="30" t="s">
        <v>317</v>
      </c>
    </row>
    <row r="199" spans="1:10" ht="18.75" hidden="1" x14ac:dyDescent="0.3">
      <c r="A199" s="32" t="s">
        <v>337</v>
      </c>
      <c r="B199" s="32"/>
      <c r="C199" s="32"/>
      <c r="D199" s="33">
        <v>1528.8</v>
      </c>
      <c r="E199" s="33">
        <f t="shared" si="44"/>
        <v>1589.952</v>
      </c>
      <c r="F199" s="34">
        <f t="shared" si="43"/>
        <v>1717.1481600000002</v>
      </c>
      <c r="G199" s="34">
        <f t="shared" si="45"/>
        <v>1854.5200128000004</v>
      </c>
      <c r="H199" s="34"/>
      <c r="I199" s="32"/>
      <c r="J199" s="30" t="s">
        <v>317</v>
      </c>
    </row>
    <row r="200" spans="1:10" ht="18.75" hidden="1" x14ac:dyDescent="0.3">
      <c r="A200" s="32" t="s">
        <v>211</v>
      </c>
      <c r="B200" s="32"/>
      <c r="C200" s="32"/>
      <c r="D200" s="33">
        <v>1583.4</v>
      </c>
      <c r="E200" s="33">
        <f t="shared" si="44"/>
        <v>1646.7360000000001</v>
      </c>
      <c r="F200" s="34">
        <f t="shared" si="43"/>
        <v>1778.4748800000002</v>
      </c>
      <c r="G200" s="34">
        <f t="shared" si="45"/>
        <v>1920.7528704000003</v>
      </c>
      <c r="H200" s="34"/>
      <c r="I200" s="32"/>
      <c r="J200" s="30" t="s">
        <v>317</v>
      </c>
    </row>
    <row r="201" spans="1:10" ht="18.75" hidden="1" x14ac:dyDescent="0.3">
      <c r="A201" s="32" t="s">
        <v>140</v>
      </c>
      <c r="B201" s="32"/>
      <c r="C201" s="32"/>
      <c r="D201" s="33">
        <v>273</v>
      </c>
      <c r="E201" s="33">
        <f t="shared" si="44"/>
        <v>283.92</v>
      </c>
      <c r="F201" s="34">
        <f t="shared" si="43"/>
        <v>306.63360000000006</v>
      </c>
      <c r="G201" s="34">
        <f t="shared" si="45"/>
        <v>331.16428800000011</v>
      </c>
      <c r="H201" s="34"/>
      <c r="I201" s="32"/>
      <c r="J201" s="30" t="s">
        <v>317</v>
      </c>
    </row>
    <row r="202" spans="1:10" ht="18.75" hidden="1" x14ac:dyDescent="0.3">
      <c r="A202" s="32" t="s">
        <v>146</v>
      </c>
      <c r="B202" s="32"/>
      <c r="C202" s="32"/>
      <c r="D202" s="33"/>
      <c r="E202" s="33">
        <v>598.66</v>
      </c>
      <c r="F202" s="33">
        <v>642.75</v>
      </c>
      <c r="G202" s="33">
        <v>692.98</v>
      </c>
      <c r="H202" s="33"/>
      <c r="I202" s="32"/>
      <c r="J202" s="30" t="s">
        <v>317</v>
      </c>
    </row>
    <row r="203" spans="1:10" ht="18.75" hidden="1" x14ac:dyDescent="0.3">
      <c r="A203" s="32" t="s">
        <v>147</v>
      </c>
      <c r="B203" s="32"/>
      <c r="C203" s="32"/>
      <c r="D203" s="33">
        <v>65.52</v>
      </c>
      <c r="E203" s="33">
        <f t="shared" si="44"/>
        <v>68.140799999999999</v>
      </c>
      <c r="F203" s="34">
        <f t="shared" si="43"/>
        <v>73.592064000000008</v>
      </c>
      <c r="G203" s="34">
        <f t="shared" si="45"/>
        <v>79.47942912000002</v>
      </c>
      <c r="H203" s="34"/>
      <c r="I203" s="32"/>
      <c r="J203" s="30" t="s">
        <v>317</v>
      </c>
    </row>
    <row r="204" spans="1:10" hidden="1" x14ac:dyDescent="0.25">
      <c r="D204" s="11"/>
    </row>
    <row r="205" spans="1:10" hidden="1" x14ac:dyDescent="0.25">
      <c r="D205" s="11"/>
    </row>
    <row r="206" spans="1:10" hidden="1" x14ac:dyDescent="0.25">
      <c r="D206" s="11"/>
    </row>
    <row r="207" spans="1:10" hidden="1" x14ac:dyDescent="0.25">
      <c r="D207" s="11"/>
    </row>
    <row r="208" spans="1:10" hidden="1" x14ac:dyDescent="0.25">
      <c r="D208" s="11"/>
    </row>
    <row r="209" spans="1:10" hidden="1" x14ac:dyDescent="0.25">
      <c r="D209" s="11"/>
    </row>
    <row r="210" spans="1:10" hidden="1" x14ac:dyDescent="0.25">
      <c r="D210" s="11"/>
    </row>
    <row r="211" spans="1:10" hidden="1" x14ac:dyDescent="0.25">
      <c r="D211" s="11"/>
    </row>
    <row r="212" spans="1:10" hidden="1" x14ac:dyDescent="0.25">
      <c r="D212" s="11"/>
    </row>
    <row r="213" spans="1:10" hidden="1" x14ac:dyDescent="0.25">
      <c r="D213" s="11"/>
    </row>
    <row r="214" spans="1:10" hidden="1" x14ac:dyDescent="0.25">
      <c r="D214" s="11"/>
    </row>
    <row r="215" spans="1:10" hidden="1" x14ac:dyDescent="0.25">
      <c r="D215" s="11"/>
    </row>
    <row r="216" spans="1:10" hidden="1" x14ac:dyDescent="0.25">
      <c r="D216" s="11"/>
    </row>
    <row r="217" spans="1:10" hidden="1" x14ac:dyDescent="0.25">
      <c r="D217" s="11"/>
    </row>
    <row r="218" spans="1:10" ht="20.25" hidden="1" x14ac:dyDescent="0.3">
      <c r="A218" s="58" t="s">
        <v>324</v>
      </c>
      <c r="B218" s="58"/>
      <c r="C218" s="58"/>
      <c r="D218" s="58"/>
      <c r="E218" s="58"/>
      <c r="F218" s="58"/>
      <c r="G218" s="58"/>
      <c r="H218" s="58"/>
      <c r="I218" s="58"/>
      <c r="J218" s="30"/>
    </row>
    <row r="219" spans="1:10" ht="18.75" hidden="1" x14ac:dyDescent="0.3">
      <c r="A219" s="32" t="s">
        <v>200</v>
      </c>
      <c r="B219" s="32"/>
      <c r="C219" s="32"/>
      <c r="D219" s="33">
        <v>832</v>
      </c>
      <c r="E219" s="33">
        <f t="shared" ref="E219:E245" si="46">D219*1.04</f>
        <v>865.28</v>
      </c>
      <c r="F219" s="34">
        <f t="shared" ref="F219:F245" si="47">E219*$F$2</f>
        <v>934.50240000000008</v>
      </c>
      <c r="G219" s="34">
        <f t="shared" ref="G219:G245" si="48">+F219*$G$6</f>
        <v>1009.2625920000002</v>
      </c>
      <c r="H219" s="34"/>
      <c r="I219" s="32"/>
      <c r="J219" s="30" t="s">
        <v>317</v>
      </c>
    </row>
    <row r="220" spans="1:10" ht="18.75" hidden="1" x14ac:dyDescent="0.3">
      <c r="A220" s="32" t="s">
        <v>212</v>
      </c>
      <c r="B220" s="32"/>
      <c r="C220" s="32"/>
      <c r="D220" s="33">
        <v>998.4</v>
      </c>
      <c r="E220" s="33">
        <f t="shared" si="46"/>
        <v>1038.336</v>
      </c>
      <c r="F220" s="34">
        <f t="shared" si="47"/>
        <v>1121.4028800000001</v>
      </c>
      <c r="G220" s="34">
        <f t="shared" si="48"/>
        <v>1211.1151104000003</v>
      </c>
      <c r="H220" s="34"/>
      <c r="I220" s="32"/>
      <c r="J220" s="30" t="s">
        <v>317</v>
      </c>
    </row>
    <row r="221" spans="1:10" ht="18.75" hidden="1" x14ac:dyDescent="0.3">
      <c r="A221" s="42" t="s">
        <v>213</v>
      </c>
      <c r="B221" s="32"/>
      <c r="C221" s="32"/>
      <c r="D221" s="33">
        <v>1026.52</v>
      </c>
      <c r="E221" s="33">
        <f t="shared" si="46"/>
        <v>1067.5808</v>
      </c>
      <c r="F221" s="34">
        <f t="shared" si="47"/>
        <v>1152.9872640000001</v>
      </c>
      <c r="G221" s="34">
        <f t="shared" si="48"/>
        <v>1245.2262451200002</v>
      </c>
      <c r="H221" s="34"/>
      <c r="I221" s="32"/>
      <c r="J221" s="30" t="s">
        <v>317</v>
      </c>
    </row>
    <row r="222" spans="1:10" ht="18.75" hidden="1" x14ac:dyDescent="0.3">
      <c r="A222" s="43" t="s">
        <v>214</v>
      </c>
      <c r="B222" s="32"/>
      <c r="C222" s="32"/>
      <c r="D222" s="33">
        <v>1066</v>
      </c>
      <c r="E222" s="33">
        <f t="shared" si="46"/>
        <v>1108.6400000000001</v>
      </c>
      <c r="F222" s="34">
        <f t="shared" si="47"/>
        <v>1197.3312000000001</v>
      </c>
      <c r="G222" s="34">
        <f t="shared" si="48"/>
        <v>1293.1176960000003</v>
      </c>
      <c r="H222" s="34"/>
      <c r="I222" s="32"/>
      <c r="J222" s="30" t="s">
        <v>317</v>
      </c>
    </row>
    <row r="223" spans="1:10" ht="18.75" hidden="1" x14ac:dyDescent="0.3">
      <c r="A223" s="43" t="s">
        <v>215</v>
      </c>
      <c r="B223" s="32"/>
      <c r="C223" s="32"/>
      <c r="D223" s="33">
        <v>1133.5999999999999</v>
      </c>
      <c r="E223" s="33">
        <f t="shared" si="46"/>
        <v>1178.944</v>
      </c>
      <c r="F223" s="34">
        <f t="shared" si="47"/>
        <v>1273.2595200000001</v>
      </c>
      <c r="G223" s="34">
        <f t="shared" si="48"/>
        <v>1375.1202816000002</v>
      </c>
      <c r="H223" s="34"/>
      <c r="I223" s="32"/>
      <c r="J223" s="30" t="s">
        <v>317</v>
      </c>
    </row>
    <row r="224" spans="1:10" ht="18.75" hidden="1" x14ac:dyDescent="0.3">
      <c r="A224" s="43" t="s">
        <v>216</v>
      </c>
      <c r="B224" s="32"/>
      <c r="C224" s="32"/>
      <c r="D224" s="33">
        <v>1372.8</v>
      </c>
      <c r="E224" s="33">
        <f t="shared" si="46"/>
        <v>1427.712</v>
      </c>
      <c r="F224" s="34">
        <f t="shared" si="47"/>
        <v>1541.9289600000002</v>
      </c>
      <c r="G224" s="34">
        <f t="shared" si="48"/>
        <v>1665.2832768000003</v>
      </c>
      <c r="H224" s="34"/>
      <c r="I224" s="32"/>
      <c r="J224" s="30" t="s">
        <v>317</v>
      </c>
    </row>
    <row r="225" spans="1:10" ht="18.75" hidden="1" x14ac:dyDescent="0.3">
      <c r="A225" s="43" t="s">
        <v>217</v>
      </c>
      <c r="B225" s="32"/>
      <c r="C225" s="32"/>
      <c r="D225" s="33">
        <v>1497.6</v>
      </c>
      <c r="E225" s="33">
        <f t="shared" si="46"/>
        <v>1557.5039999999999</v>
      </c>
      <c r="F225" s="34">
        <f t="shared" si="47"/>
        <v>1682.1043199999999</v>
      </c>
      <c r="G225" s="34">
        <f t="shared" si="48"/>
        <v>1816.6726656000001</v>
      </c>
      <c r="H225" s="34"/>
      <c r="I225" s="32"/>
      <c r="J225" s="30" t="s">
        <v>317</v>
      </c>
    </row>
    <row r="226" spans="1:10" ht="18.75" hidden="1" x14ac:dyDescent="0.3">
      <c r="A226" s="43" t="s">
        <v>218</v>
      </c>
      <c r="B226" s="32"/>
      <c r="C226" s="32"/>
      <c r="D226" s="33">
        <v>2444</v>
      </c>
      <c r="E226" s="33">
        <f t="shared" si="46"/>
        <v>2541.7600000000002</v>
      </c>
      <c r="F226" s="34">
        <f t="shared" si="47"/>
        <v>2745.1008000000006</v>
      </c>
      <c r="G226" s="34">
        <f t="shared" si="48"/>
        <v>2964.7088640000011</v>
      </c>
      <c r="H226" s="34"/>
      <c r="I226" s="32"/>
      <c r="J226" s="30" t="s">
        <v>317</v>
      </c>
    </row>
    <row r="227" spans="1:10" ht="18.75" hidden="1" x14ac:dyDescent="0.3">
      <c r="A227" s="43" t="s">
        <v>219</v>
      </c>
      <c r="B227" s="32"/>
      <c r="C227" s="32"/>
      <c r="D227" s="33">
        <v>1289.6300000000001</v>
      </c>
      <c r="E227" s="33">
        <f t="shared" si="46"/>
        <v>1341.2152000000001</v>
      </c>
      <c r="F227" s="34">
        <f t="shared" si="47"/>
        <v>1448.5124160000003</v>
      </c>
      <c r="G227" s="34">
        <f t="shared" si="48"/>
        <v>1564.3934092800005</v>
      </c>
      <c r="H227" s="34"/>
      <c r="I227" s="32"/>
      <c r="J227" s="30" t="s">
        <v>317</v>
      </c>
    </row>
    <row r="228" spans="1:10" ht="18.75" hidden="1" x14ac:dyDescent="0.3">
      <c r="A228" s="43" t="s">
        <v>220</v>
      </c>
      <c r="B228" s="32"/>
      <c r="C228" s="32"/>
      <c r="D228" s="33">
        <v>3749.2</v>
      </c>
      <c r="E228" s="33">
        <f t="shared" si="46"/>
        <v>3899.1680000000001</v>
      </c>
      <c r="F228" s="34">
        <f t="shared" si="47"/>
        <v>4211.1014400000004</v>
      </c>
      <c r="G228" s="34">
        <f t="shared" si="48"/>
        <v>4547.9895552000007</v>
      </c>
      <c r="H228" s="34"/>
      <c r="I228" s="32"/>
      <c r="J228" s="30" t="s">
        <v>317</v>
      </c>
    </row>
    <row r="229" spans="1:10" ht="18.75" hidden="1" x14ac:dyDescent="0.3">
      <c r="A229" s="43" t="s">
        <v>221</v>
      </c>
      <c r="B229" s="32"/>
      <c r="C229" s="32"/>
      <c r="D229" s="33">
        <v>2235.37</v>
      </c>
      <c r="E229" s="33">
        <f t="shared" si="46"/>
        <v>2324.7847999999999</v>
      </c>
      <c r="F229" s="34">
        <f t="shared" si="47"/>
        <v>2510.7675840000002</v>
      </c>
      <c r="G229" s="34">
        <f t="shared" si="48"/>
        <v>2711.6289907200003</v>
      </c>
      <c r="H229" s="34"/>
      <c r="I229" s="32"/>
      <c r="J229" s="30" t="s">
        <v>317</v>
      </c>
    </row>
    <row r="230" spans="1:10" ht="18.75" hidden="1" x14ac:dyDescent="0.3">
      <c r="A230" s="43" t="s">
        <v>222</v>
      </c>
      <c r="B230" s="32"/>
      <c r="C230" s="32"/>
      <c r="D230" s="33">
        <v>1303.96</v>
      </c>
      <c r="E230" s="33">
        <f t="shared" si="46"/>
        <v>1356.1184000000001</v>
      </c>
      <c r="F230" s="34">
        <f t="shared" si="47"/>
        <v>1464.6078720000003</v>
      </c>
      <c r="G230" s="34">
        <f t="shared" si="48"/>
        <v>1581.7765017600004</v>
      </c>
      <c r="H230" s="34"/>
      <c r="I230" s="32"/>
      <c r="J230" s="30" t="s">
        <v>317</v>
      </c>
    </row>
    <row r="231" spans="1:10" ht="18.75" hidden="1" x14ac:dyDescent="0.3">
      <c r="A231" s="43" t="s">
        <v>223</v>
      </c>
      <c r="B231" s="32"/>
      <c r="C231" s="32"/>
      <c r="D231" s="33">
        <v>1561.89</v>
      </c>
      <c r="E231" s="33">
        <f t="shared" si="46"/>
        <v>1624.3656000000001</v>
      </c>
      <c r="F231" s="34">
        <f t="shared" si="47"/>
        <v>1754.3148480000002</v>
      </c>
      <c r="G231" s="34">
        <f t="shared" si="48"/>
        <v>1894.6600358400003</v>
      </c>
      <c r="H231" s="34"/>
      <c r="I231" s="32"/>
      <c r="J231" s="30" t="s">
        <v>317</v>
      </c>
    </row>
    <row r="232" spans="1:10" ht="18.75" hidden="1" x14ac:dyDescent="0.3">
      <c r="A232" s="43" t="s">
        <v>224</v>
      </c>
      <c r="B232" s="32"/>
      <c r="C232" s="32"/>
      <c r="D232" s="33">
        <v>1929.2</v>
      </c>
      <c r="E232" s="33">
        <f t="shared" si="46"/>
        <v>2006.3680000000002</v>
      </c>
      <c r="F232" s="34">
        <f t="shared" si="47"/>
        <v>2166.8774400000002</v>
      </c>
      <c r="G232" s="34">
        <f t="shared" si="48"/>
        <v>2340.2276352000003</v>
      </c>
      <c r="H232" s="34"/>
      <c r="I232" s="32"/>
      <c r="J232" s="30" t="s">
        <v>317</v>
      </c>
    </row>
    <row r="233" spans="1:10" ht="18.75" hidden="1" x14ac:dyDescent="0.3">
      <c r="A233" s="43" t="s">
        <v>225</v>
      </c>
      <c r="B233" s="32"/>
      <c r="C233" s="32"/>
      <c r="D233" s="33">
        <v>1389.44</v>
      </c>
      <c r="E233" s="33">
        <f t="shared" si="46"/>
        <v>1445.0176000000001</v>
      </c>
      <c r="F233" s="34">
        <f t="shared" si="47"/>
        <v>1560.6190080000003</v>
      </c>
      <c r="G233" s="34">
        <f t="shared" si="48"/>
        <v>1685.4685286400004</v>
      </c>
      <c r="H233" s="34"/>
      <c r="I233" s="32"/>
      <c r="J233" s="30" t="s">
        <v>317</v>
      </c>
    </row>
    <row r="234" spans="1:10" ht="18.75" hidden="1" x14ac:dyDescent="0.3">
      <c r="A234" s="43" t="s">
        <v>226</v>
      </c>
      <c r="B234" s="32"/>
      <c r="C234" s="32"/>
      <c r="D234" s="33">
        <v>823.84</v>
      </c>
      <c r="E234" s="33">
        <f t="shared" si="46"/>
        <v>856.79360000000008</v>
      </c>
      <c r="F234" s="34">
        <f t="shared" si="47"/>
        <v>925.33708800000011</v>
      </c>
      <c r="G234" s="34">
        <f t="shared" si="48"/>
        <v>999.36405504000015</v>
      </c>
      <c r="H234" s="34"/>
      <c r="I234" s="32"/>
      <c r="J234" s="30" t="s">
        <v>317</v>
      </c>
    </row>
    <row r="235" spans="1:10" ht="18.75" hidden="1" x14ac:dyDescent="0.3">
      <c r="A235" s="43" t="s">
        <v>227</v>
      </c>
      <c r="B235" s="32"/>
      <c r="C235" s="32"/>
      <c r="D235" s="33">
        <v>1635.76</v>
      </c>
      <c r="E235" s="33">
        <f t="shared" si="46"/>
        <v>1701.1904</v>
      </c>
      <c r="F235" s="34">
        <f t="shared" si="47"/>
        <v>1837.2856320000001</v>
      </c>
      <c r="G235" s="34">
        <f t="shared" si="48"/>
        <v>1984.2684825600002</v>
      </c>
      <c r="H235" s="34"/>
      <c r="I235" s="32"/>
      <c r="J235" s="30" t="s">
        <v>317</v>
      </c>
    </row>
    <row r="236" spans="1:10" ht="18.75" hidden="1" x14ac:dyDescent="0.3">
      <c r="A236" s="43" t="s">
        <v>228</v>
      </c>
      <c r="B236" s="32"/>
      <c r="C236" s="32"/>
      <c r="D236" s="33">
        <v>1133.5999999999999</v>
      </c>
      <c r="E236" s="33">
        <f t="shared" si="46"/>
        <v>1178.944</v>
      </c>
      <c r="F236" s="34">
        <f t="shared" si="47"/>
        <v>1273.2595200000001</v>
      </c>
      <c r="G236" s="34">
        <f t="shared" si="48"/>
        <v>1375.1202816000002</v>
      </c>
      <c r="H236" s="34"/>
      <c r="I236" s="32"/>
      <c r="J236" s="30" t="s">
        <v>317</v>
      </c>
    </row>
    <row r="237" spans="1:10" ht="18.75" hidden="1" x14ac:dyDescent="0.3">
      <c r="A237" s="43" t="s">
        <v>229</v>
      </c>
      <c r="B237" s="32"/>
      <c r="C237" s="32"/>
      <c r="D237" s="33">
        <v>6765.7073170731701</v>
      </c>
      <c r="E237" s="33">
        <f t="shared" si="46"/>
        <v>7036.3356097560973</v>
      </c>
      <c r="F237" s="34">
        <f t="shared" si="47"/>
        <v>7599.2424585365852</v>
      </c>
      <c r="G237" s="34">
        <f t="shared" si="48"/>
        <v>8207.1818552195127</v>
      </c>
      <c r="H237" s="34"/>
      <c r="I237" s="32"/>
      <c r="J237" s="30" t="s">
        <v>317</v>
      </c>
    </row>
    <row r="238" spans="1:10" ht="18.75" hidden="1" x14ac:dyDescent="0.3">
      <c r="A238" s="43" t="s">
        <v>230</v>
      </c>
      <c r="B238" s="32"/>
      <c r="C238" s="32"/>
      <c r="D238" s="33">
        <v>1724</v>
      </c>
      <c r="E238" s="33">
        <f t="shared" si="46"/>
        <v>1792.96</v>
      </c>
      <c r="F238" s="34">
        <f t="shared" si="47"/>
        <v>1936.3968000000002</v>
      </c>
      <c r="G238" s="34">
        <f t="shared" si="48"/>
        <v>2091.3085440000004</v>
      </c>
      <c r="H238" s="34"/>
      <c r="I238" s="32"/>
      <c r="J238" s="30" t="s">
        <v>317</v>
      </c>
    </row>
    <row r="239" spans="1:10" ht="18.75" hidden="1" x14ac:dyDescent="0.3">
      <c r="A239" s="43" t="s">
        <v>231</v>
      </c>
      <c r="B239" s="32"/>
      <c r="C239" s="32"/>
      <c r="D239" s="33">
        <v>1977</v>
      </c>
      <c r="E239" s="33">
        <f t="shared" si="46"/>
        <v>2056.08</v>
      </c>
      <c r="F239" s="34">
        <f t="shared" si="47"/>
        <v>2220.5664000000002</v>
      </c>
      <c r="G239" s="34">
        <f t="shared" si="48"/>
        <v>2398.2117120000003</v>
      </c>
      <c r="H239" s="34"/>
      <c r="I239" s="32"/>
      <c r="J239" s="30" t="s">
        <v>317</v>
      </c>
    </row>
    <row r="240" spans="1:10" ht="18.75" hidden="1" x14ac:dyDescent="0.3">
      <c r="A240" s="43" t="s">
        <v>232</v>
      </c>
      <c r="B240" s="32"/>
      <c r="C240" s="32"/>
      <c r="D240" s="33">
        <v>3978</v>
      </c>
      <c r="E240" s="33">
        <f t="shared" si="46"/>
        <v>4137.12</v>
      </c>
      <c r="F240" s="34">
        <f t="shared" si="47"/>
        <v>4468.0896000000002</v>
      </c>
      <c r="G240" s="34">
        <f t="shared" si="48"/>
        <v>4825.5367680000008</v>
      </c>
      <c r="H240" s="34"/>
      <c r="I240" s="32"/>
      <c r="J240" s="30" t="s">
        <v>317</v>
      </c>
    </row>
    <row r="241" spans="1:10" ht="18.75" hidden="1" x14ac:dyDescent="0.3">
      <c r="A241" s="43" t="s">
        <v>233</v>
      </c>
      <c r="B241" s="32"/>
      <c r="C241" s="32"/>
      <c r="D241" s="33">
        <v>1991</v>
      </c>
      <c r="E241" s="33">
        <f t="shared" si="46"/>
        <v>2070.64</v>
      </c>
      <c r="F241" s="34">
        <f t="shared" si="47"/>
        <v>2236.2912000000001</v>
      </c>
      <c r="G241" s="34">
        <f t="shared" si="48"/>
        <v>2415.1944960000001</v>
      </c>
      <c r="H241" s="34"/>
      <c r="I241" s="32"/>
      <c r="J241" s="30" t="s">
        <v>317</v>
      </c>
    </row>
    <row r="242" spans="1:10" ht="18.75" hidden="1" x14ac:dyDescent="0.3">
      <c r="A242" s="43" t="s">
        <v>234</v>
      </c>
      <c r="B242" s="32"/>
      <c r="C242" s="32"/>
      <c r="D242" s="33">
        <v>1490.24</v>
      </c>
      <c r="E242" s="33">
        <f t="shared" si="46"/>
        <v>1549.8496</v>
      </c>
      <c r="F242" s="34">
        <f t="shared" si="47"/>
        <v>1673.8375680000001</v>
      </c>
      <c r="G242" s="34">
        <f t="shared" si="48"/>
        <v>1807.7445734400003</v>
      </c>
      <c r="H242" s="34"/>
      <c r="I242" s="32"/>
      <c r="J242" s="30" t="s">
        <v>317</v>
      </c>
    </row>
    <row r="243" spans="1:10" ht="18.75" hidden="1" x14ac:dyDescent="0.3">
      <c r="A243" s="43" t="s">
        <v>235</v>
      </c>
      <c r="B243" s="32"/>
      <c r="C243" s="32"/>
      <c r="D243" s="33">
        <v>549.95000000000005</v>
      </c>
      <c r="E243" s="32">
        <v>567.29</v>
      </c>
      <c r="F243" s="33">
        <v>609.07000000000005</v>
      </c>
      <c r="G243" s="33">
        <v>656.67</v>
      </c>
      <c r="H243" s="33"/>
      <c r="I243" s="32"/>
      <c r="J243" s="30" t="s">
        <v>317</v>
      </c>
    </row>
    <row r="244" spans="1:10" ht="18.75" hidden="1" x14ac:dyDescent="0.3">
      <c r="A244" s="43" t="s">
        <v>147</v>
      </c>
      <c r="B244" s="32"/>
      <c r="C244" s="32"/>
      <c r="D244" s="33">
        <v>65.52</v>
      </c>
      <c r="E244" s="33">
        <f t="shared" si="46"/>
        <v>68.140799999999999</v>
      </c>
      <c r="F244" s="34">
        <f t="shared" si="47"/>
        <v>73.592064000000008</v>
      </c>
      <c r="G244" s="34">
        <f t="shared" si="48"/>
        <v>79.47942912000002</v>
      </c>
      <c r="H244" s="34"/>
      <c r="I244" s="32"/>
      <c r="J244" s="30" t="s">
        <v>317</v>
      </c>
    </row>
    <row r="245" spans="1:10" ht="18.75" hidden="1" x14ac:dyDescent="0.3">
      <c r="A245" s="43" t="s">
        <v>33</v>
      </c>
      <c r="B245" s="32"/>
      <c r="C245" s="32"/>
      <c r="D245" s="33">
        <v>273</v>
      </c>
      <c r="E245" s="33">
        <f t="shared" si="46"/>
        <v>283.92</v>
      </c>
      <c r="F245" s="34">
        <f t="shared" si="47"/>
        <v>306.63360000000006</v>
      </c>
      <c r="G245" s="34">
        <f t="shared" si="48"/>
        <v>331.16428800000011</v>
      </c>
      <c r="H245" s="34"/>
      <c r="I245" s="32"/>
      <c r="J245" s="30" t="s">
        <v>317</v>
      </c>
    </row>
    <row r="246" spans="1:10" ht="18.75" hidden="1" x14ac:dyDescent="0.3">
      <c r="A246" s="43"/>
      <c r="B246" s="32"/>
      <c r="C246" s="32"/>
      <c r="D246" s="33"/>
      <c r="E246" s="33"/>
      <c r="F246" s="34"/>
      <c r="G246" s="34"/>
      <c r="H246" s="34"/>
      <c r="I246" s="32"/>
      <c r="J246" s="30"/>
    </row>
    <row r="247" spans="1:10" ht="18.75" hidden="1" x14ac:dyDescent="0.3">
      <c r="A247" s="43"/>
      <c r="B247" s="32"/>
      <c r="C247" s="32"/>
      <c r="D247" s="33"/>
      <c r="E247" s="33"/>
      <c r="F247" s="34"/>
      <c r="G247" s="34"/>
      <c r="H247" s="34"/>
      <c r="I247" s="32"/>
      <c r="J247" s="30"/>
    </row>
    <row r="248" spans="1:10" ht="18.75" hidden="1" x14ac:dyDescent="0.3">
      <c r="A248" s="43"/>
      <c r="B248" s="32"/>
      <c r="C248" s="32"/>
      <c r="D248" s="33"/>
      <c r="E248" s="33"/>
      <c r="F248" s="34"/>
      <c r="G248" s="34"/>
      <c r="H248" s="34"/>
      <c r="I248" s="32"/>
      <c r="J248" s="30"/>
    </row>
    <row r="249" spans="1:10" ht="18.75" hidden="1" x14ac:dyDescent="0.3">
      <c r="A249" s="43"/>
      <c r="B249" s="32"/>
      <c r="C249" s="32"/>
      <c r="D249" s="33"/>
      <c r="E249" s="33"/>
      <c r="F249" s="34"/>
      <c r="G249" s="34"/>
      <c r="H249" s="34"/>
      <c r="I249" s="32"/>
      <c r="J249" s="30"/>
    </row>
    <row r="250" spans="1:10" ht="18.75" hidden="1" x14ac:dyDescent="0.3">
      <c r="A250" s="43"/>
      <c r="B250" s="32"/>
      <c r="C250" s="32"/>
      <c r="D250" s="33"/>
      <c r="E250" s="33"/>
      <c r="F250" s="34"/>
      <c r="G250" s="34"/>
      <c r="H250" s="34"/>
      <c r="I250" s="32"/>
      <c r="J250" s="30"/>
    </row>
    <row r="251" spans="1:10" ht="18.75" hidden="1" x14ac:dyDescent="0.3">
      <c r="A251" s="43"/>
      <c r="B251" s="32"/>
      <c r="C251" s="32"/>
      <c r="D251" s="33"/>
      <c r="E251" s="33"/>
      <c r="F251" s="34"/>
      <c r="G251" s="34"/>
      <c r="H251" s="34"/>
      <c r="I251" s="32"/>
      <c r="J251" s="30"/>
    </row>
    <row r="252" spans="1:10" ht="18.75" hidden="1" x14ac:dyDescent="0.3">
      <c r="A252" s="43"/>
      <c r="B252" s="32"/>
      <c r="C252" s="32"/>
      <c r="D252" s="33"/>
      <c r="E252" s="33"/>
      <c r="F252" s="34"/>
      <c r="G252" s="34"/>
      <c r="H252" s="34"/>
      <c r="I252" s="32"/>
      <c r="J252" s="30"/>
    </row>
    <row r="253" spans="1:10" ht="18.75" hidden="1" x14ac:dyDescent="0.3">
      <c r="A253" s="43"/>
      <c r="B253" s="32"/>
      <c r="C253" s="32"/>
      <c r="D253" s="33"/>
      <c r="E253" s="33"/>
      <c r="F253" s="34"/>
      <c r="G253" s="34"/>
      <c r="H253" s="34"/>
      <c r="I253" s="32"/>
      <c r="J253" s="30"/>
    </row>
    <row r="254" spans="1:10" ht="18.75" hidden="1" x14ac:dyDescent="0.3">
      <c r="A254" s="43"/>
      <c r="B254" s="32"/>
      <c r="C254" s="32"/>
      <c r="D254" s="33"/>
      <c r="E254" s="33"/>
      <c r="F254" s="34"/>
      <c r="G254" s="34"/>
      <c r="H254" s="34"/>
      <c r="I254" s="32"/>
      <c r="J254" s="30"/>
    </row>
    <row r="255" spans="1:10" ht="18.75" hidden="1" x14ac:dyDescent="0.3">
      <c r="A255" s="43"/>
      <c r="B255" s="32"/>
      <c r="C255" s="32"/>
      <c r="D255" s="33"/>
      <c r="E255" s="33"/>
      <c r="F255" s="34"/>
      <c r="G255" s="34"/>
      <c r="H255" s="34"/>
      <c r="I255" s="32"/>
      <c r="J255" s="30"/>
    </row>
    <row r="256" spans="1:10" ht="18.75" hidden="1" x14ac:dyDescent="0.3">
      <c r="A256" s="43"/>
      <c r="B256" s="32"/>
      <c r="C256" s="32"/>
      <c r="D256" s="33"/>
      <c r="E256" s="33"/>
      <c r="F256" s="34"/>
      <c r="G256" s="34"/>
      <c r="H256" s="34"/>
      <c r="I256" s="32"/>
      <c r="J256" s="30"/>
    </row>
    <row r="257" spans="1:10" ht="18.75" hidden="1" x14ac:dyDescent="0.3">
      <c r="A257" s="43"/>
      <c r="B257" s="32"/>
      <c r="C257" s="32"/>
      <c r="D257" s="33"/>
      <c r="E257" s="33"/>
      <c r="F257" s="34"/>
      <c r="G257" s="34"/>
      <c r="H257" s="34"/>
      <c r="I257" s="32"/>
      <c r="J257" s="30"/>
    </row>
    <row r="258" spans="1:10" ht="18.75" hidden="1" x14ac:dyDescent="0.3">
      <c r="A258" s="43"/>
      <c r="B258" s="32"/>
      <c r="C258" s="32"/>
      <c r="D258" s="33"/>
      <c r="E258" s="33"/>
      <c r="F258" s="34"/>
      <c r="G258" s="34"/>
      <c r="H258" s="34"/>
      <c r="I258" s="32"/>
      <c r="J258" s="30"/>
    </row>
    <row r="259" spans="1:10" ht="18.75" hidden="1" x14ac:dyDescent="0.3">
      <c r="A259" s="43"/>
      <c r="B259" s="32"/>
      <c r="C259" s="32"/>
      <c r="D259" s="33"/>
      <c r="E259" s="33"/>
      <c r="F259" s="34"/>
      <c r="G259" s="34"/>
      <c r="H259" s="34"/>
      <c r="I259" s="32"/>
      <c r="J259" s="30"/>
    </row>
    <row r="260" spans="1:10" ht="18.75" hidden="1" x14ac:dyDescent="0.3">
      <c r="A260" s="43"/>
      <c r="B260" s="32"/>
      <c r="C260" s="32"/>
      <c r="D260" s="33"/>
      <c r="E260" s="33"/>
      <c r="F260" s="34"/>
      <c r="G260" s="34"/>
      <c r="H260" s="34"/>
      <c r="I260" s="32"/>
      <c r="J260" s="30"/>
    </row>
    <row r="261" spans="1:10" ht="18.75" hidden="1" x14ac:dyDescent="0.3">
      <c r="A261" s="43"/>
      <c r="B261" s="32"/>
      <c r="C261" s="32"/>
      <c r="D261" s="33"/>
      <c r="E261" s="33"/>
      <c r="F261" s="34"/>
      <c r="G261" s="34"/>
      <c r="H261" s="34"/>
      <c r="I261" s="32"/>
      <c r="J261" s="30"/>
    </row>
    <row r="262" spans="1:10" hidden="1" x14ac:dyDescent="0.25">
      <c r="D262" s="11"/>
    </row>
    <row r="263" spans="1:10" hidden="1" x14ac:dyDescent="0.25">
      <c r="D263" s="11"/>
    </row>
    <row r="264" spans="1:10" hidden="1" x14ac:dyDescent="0.25">
      <c r="D264" s="11"/>
    </row>
    <row r="265" spans="1:10" hidden="1" x14ac:dyDescent="0.25">
      <c r="D265" s="11"/>
    </row>
    <row r="266" spans="1:10" hidden="1" x14ac:dyDescent="0.25">
      <c r="D266" s="11"/>
    </row>
    <row r="267" spans="1:10" hidden="1" x14ac:dyDescent="0.25">
      <c r="D267" s="11"/>
    </row>
    <row r="268" spans="1:10" hidden="1" x14ac:dyDescent="0.25">
      <c r="D268" s="11"/>
    </row>
    <row r="269" spans="1:10" hidden="1" x14ac:dyDescent="0.25">
      <c r="D269" s="11"/>
    </row>
    <row r="270" spans="1:10" hidden="1" x14ac:dyDescent="0.25">
      <c r="D270" s="11"/>
    </row>
    <row r="271" spans="1:10" hidden="1" x14ac:dyDescent="0.25">
      <c r="D271" s="11"/>
    </row>
    <row r="272" spans="1:10" ht="20.25" hidden="1" x14ac:dyDescent="0.3">
      <c r="A272" s="58" t="s">
        <v>325</v>
      </c>
      <c r="B272" s="58"/>
      <c r="C272" s="58"/>
      <c r="D272" s="58"/>
      <c r="E272" s="58"/>
      <c r="F272" s="58"/>
      <c r="G272" s="58"/>
      <c r="H272" s="58"/>
      <c r="I272" s="58"/>
      <c r="J272" s="30"/>
    </row>
    <row r="273" spans="1:10" ht="18.75" hidden="1" x14ac:dyDescent="0.3">
      <c r="A273" s="43" t="s">
        <v>236</v>
      </c>
      <c r="B273" s="32"/>
      <c r="C273" s="32"/>
      <c r="D273" s="33">
        <v>1352</v>
      </c>
      <c r="E273" s="33">
        <f t="shared" ref="E273:E351" si="49">D273*1.04</f>
        <v>1406.0800000000002</v>
      </c>
      <c r="F273" s="34">
        <f>E273*1.08</f>
        <v>1518.5664000000002</v>
      </c>
      <c r="G273" s="34">
        <f t="shared" ref="G273:G308" si="50">+F273*$G$6</f>
        <v>1640.0517120000002</v>
      </c>
      <c r="H273" s="34"/>
      <c r="I273" s="32"/>
      <c r="J273" s="30" t="s">
        <v>317</v>
      </c>
    </row>
    <row r="274" spans="1:10" ht="18.75" hidden="1" x14ac:dyDescent="0.3">
      <c r="A274" s="43" t="s">
        <v>237</v>
      </c>
      <c r="B274" s="32"/>
      <c r="C274" s="32"/>
      <c r="D274" s="33">
        <v>6448</v>
      </c>
      <c r="E274" s="33">
        <f t="shared" si="49"/>
        <v>6705.92</v>
      </c>
      <c r="F274" s="34">
        <f t="shared" ref="F274:F352" si="51">E274*1.08</f>
        <v>7242.3936000000003</v>
      </c>
      <c r="G274" s="34">
        <f t="shared" si="50"/>
        <v>7821.7850880000005</v>
      </c>
      <c r="H274" s="34"/>
      <c r="I274" s="32"/>
      <c r="J274" s="30" t="s">
        <v>317</v>
      </c>
    </row>
    <row r="275" spans="1:10" ht="18.75" hidden="1" x14ac:dyDescent="0.3">
      <c r="A275" s="43" t="s">
        <v>238</v>
      </c>
      <c r="B275" s="32"/>
      <c r="C275" s="32"/>
      <c r="D275" s="33">
        <v>1144</v>
      </c>
      <c r="E275" s="33">
        <f t="shared" si="49"/>
        <v>1189.76</v>
      </c>
      <c r="F275" s="34">
        <f t="shared" si="51"/>
        <v>1284.9408000000001</v>
      </c>
      <c r="G275" s="34">
        <f t="shared" si="50"/>
        <v>1387.7360640000002</v>
      </c>
      <c r="H275" s="34"/>
      <c r="I275" s="32"/>
      <c r="J275" s="30" t="s">
        <v>317</v>
      </c>
    </row>
    <row r="276" spans="1:10" ht="18.75" hidden="1" x14ac:dyDescent="0.3">
      <c r="A276" s="43" t="s">
        <v>239</v>
      </c>
      <c r="B276" s="32"/>
      <c r="C276" s="32"/>
      <c r="D276" s="33">
        <v>728</v>
      </c>
      <c r="E276" s="33">
        <f t="shared" si="49"/>
        <v>757.12</v>
      </c>
      <c r="F276" s="34">
        <f t="shared" si="51"/>
        <v>817.68960000000004</v>
      </c>
      <c r="G276" s="34">
        <f t="shared" si="50"/>
        <v>883.10476800000015</v>
      </c>
      <c r="H276" s="34"/>
      <c r="I276" s="32"/>
      <c r="J276" s="30" t="s">
        <v>317</v>
      </c>
    </row>
    <row r="277" spans="1:10" ht="18.75" hidden="1" x14ac:dyDescent="0.3">
      <c r="A277" s="43" t="s">
        <v>240</v>
      </c>
      <c r="B277" s="32"/>
      <c r="C277" s="32"/>
      <c r="D277" s="33">
        <v>780</v>
      </c>
      <c r="E277" s="33">
        <f t="shared" si="49"/>
        <v>811.2</v>
      </c>
      <c r="F277" s="34">
        <f t="shared" si="51"/>
        <v>876.09600000000012</v>
      </c>
      <c r="G277" s="34">
        <f t="shared" si="50"/>
        <v>946.18368000000021</v>
      </c>
      <c r="H277" s="34"/>
      <c r="I277" s="32"/>
      <c r="J277" s="30" t="s">
        <v>317</v>
      </c>
    </row>
    <row r="278" spans="1:10" ht="18.75" hidden="1" x14ac:dyDescent="0.3">
      <c r="A278" s="43" t="s">
        <v>241</v>
      </c>
      <c r="B278" s="32"/>
      <c r="C278" s="32"/>
      <c r="D278" s="33">
        <v>676</v>
      </c>
      <c r="E278" s="33">
        <f t="shared" si="49"/>
        <v>703.04000000000008</v>
      </c>
      <c r="F278" s="34">
        <f t="shared" si="51"/>
        <v>759.28320000000008</v>
      </c>
      <c r="G278" s="34">
        <f t="shared" si="50"/>
        <v>820.02585600000009</v>
      </c>
      <c r="H278" s="34"/>
      <c r="I278" s="32"/>
      <c r="J278" s="30" t="s">
        <v>317</v>
      </c>
    </row>
    <row r="279" spans="1:10" ht="18.75" hidden="1" x14ac:dyDescent="0.3">
      <c r="A279" s="43" t="s">
        <v>242</v>
      </c>
      <c r="B279" s="32"/>
      <c r="C279" s="32"/>
      <c r="D279" s="33">
        <v>832</v>
      </c>
      <c r="E279" s="33">
        <f t="shared" si="49"/>
        <v>865.28</v>
      </c>
      <c r="F279" s="34">
        <f t="shared" si="51"/>
        <v>934.50240000000008</v>
      </c>
      <c r="G279" s="34">
        <f t="shared" si="50"/>
        <v>1009.2625920000002</v>
      </c>
      <c r="H279" s="34"/>
      <c r="I279" s="32"/>
      <c r="J279" s="30" t="s">
        <v>317</v>
      </c>
    </row>
    <row r="280" spans="1:10" ht="18.75" hidden="1" x14ac:dyDescent="0.3">
      <c r="A280" s="43" t="s">
        <v>243</v>
      </c>
      <c r="B280" s="32"/>
      <c r="C280" s="32"/>
      <c r="D280" s="33">
        <v>1248</v>
      </c>
      <c r="E280" s="33">
        <f t="shared" si="49"/>
        <v>1297.92</v>
      </c>
      <c r="F280" s="34">
        <f t="shared" si="51"/>
        <v>1401.7536000000002</v>
      </c>
      <c r="G280" s="34">
        <f t="shared" si="50"/>
        <v>1513.8938880000003</v>
      </c>
      <c r="H280" s="34"/>
      <c r="I280" s="32"/>
      <c r="J280" s="30" t="s">
        <v>317</v>
      </c>
    </row>
    <row r="281" spans="1:10" ht="18.75" hidden="1" x14ac:dyDescent="0.3">
      <c r="A281" s="43" t="s">
        <v>244</v>
      </c>
      <c r="B281" s="32"/>
      <c r="C281" s="32"/>
      <c r="D281" s="33">
        <v>988</v>
      </c>
      <c r="E281" s="33">
        <f t="shared" si="49"/>
        <v>1027.52</v>
      </c>
      <c r="F281" s="34">
        <f t="shared" si="51"/>
        <v>1109.7216000000001</v>
      </c>
      <c r="G281" s="34">
        <f t="shared" si="50"/>
        <v>1198.4993280000001</v>
      </c>
      <c r="H281" s="34"/>
      <c r="I281" s="32"/>
      <c r="J281" s="30" t="s">
        <v>317</v>
      </c>
    </row>
    <row r="282" spans="1:10" ht="18.75" hidden="1" x14ac:dyDescent="0.3">
      <c r="A282" s="43" t="s">
        <v>245</v>
      </c>
      <c r="B282" s="32"/>
      <c r="C282" s="32"/>
      <c r="D282" s="33">
        <v>6240</v>
      </c>
      <c r="E282" s="33">
        <f t="shared" si="49"/>
        <v>6489.6</v>
      </c>
      <c r="F282" s="34">
        <f t="shared" si="51"/>
        <v>7008.7680000000009</v>
      </c>
      <c r="G282" s="34">
        <f t="shared" si="50"/>
        <v>7569.4694400000017</v>
      </c>
      <c r="H282" s="34"/>
      <c r="I282" s="32"/>
      <c r="J282" s="30" t="s">
        <v>317</v>
      </c>
    </row>
    <row r="283" spans="1:10" ht="18.75" hidden="1" x14ac:dyDescent="0.3">
      <c r="A283" s="43" t="s">
        <v>246</v>
      </c>
      <c r="B283" s="32"/>
      <c r="C283" s="32"/>
      <c r="D283" s="33">
        <v>8112</v>
      </c>
      <c r="E283" s="33">
        <f t="shared" si="49"/>
        <v>8436.48</v>
      </c>
      <c r="F283" s="34">
        <f t="shared" si="51"/>
        <v>9111.3984</v>
      </c>
      <c r="G283" s="34">
        <f t="shared" si="50"/>
        <v>9840.3102720000006</v>
      </c>
      <c r="H283" s="34"/>
      <c r="I283" s="32"/>
      <c r="J283" s="30" t="s">
        <v>317</v>
      </c>
    </row>
    <row r="284" spans="1:10" ht="18.75" hidden="1" x14ac:dyDescent="0.3">
      <c r="A284" s="43" t="s">
        <v>247</v>
      </c>
      <c r="B284" s="32"/>
      <c r="C284" s="32"/>
      <c r="D284" s="33">
        <v>1352</v>
      </c>
      <c r="E284" s="33">
        <f t="shared" si="49"/>
        <v>1406.0800000000002</v>
      </c>
      <c r="F284" s="34">
        <f t="shared" si="51"/>
        <v>1518.5664000000002</v>
      </c>
      <c r="G284" s="34">
        <f t="shared" si="50"/>
        <v>1640.0517120000002</v>
      </c>
      <c r="H284" s="34"/>
      <c r="I284" s="32"/>
      <c r="J284" s="30" t="s">
        <v>317</v>
      </c>
    </row>
    <row r="285" spans="1:10" ht="18.75" hidden="1" x14ac:dyDescent="0.3">
      <c r="A285" s="43" t="s">
        <v>248</v>
      </c>
      <c r="B285" s="32"/>
      <c r="C285" s="32"/>
      <c r="D285" s="33">
        <v>780</v>
      </c>
      <c r="E285" s="33">
        <f t="shared" si="49"/>
        <v>811.2</v>
      </c>
      <c r="F285" s="34">
        <f t="shared" si="51"/>
        <v>876.09600000000012</v>
      </c>
      <c r="G285" s="34">
        <f t="shared" si="50"/>
        <v>946.18368000000021</v>
      </c>
      <c r="H285" s="34"/>
      <c r="I285" s="32"/>
      <c r="J285" s="30" t="s">
        <v>317</v>
      </c>
    </row>
    <row r="286" spans="1:10" ht="18.75" hidden="1" x14ac:dyDescent="0.3">
      <c r="A286" s="43" t="s">
        <v>249</v>
      </c>
      <c r="B286" s="32"/>
      <c r="C286" s="32"/>
      <c r="D286" s="33">
        <v>2392</v>
      </c>
      <c r="E286" s="33">
        <f t="shared" si="49"/>
        <v>2487.6800000000003</v>
      </c>
      <c r="F286" s="34">
        <f t="shared" si="51"/>
        <v>2686.6944000000003</v>
      </c>
      <c r="G286" s="34">
        <f t="shared" si="50"/>
        <v>2901.6299520000007</v>
      </c>
      <c r="H286" s="34"/>
      <c r="I286" s="32"/>
      <c r="J286" s="30" t="s">
        <v>317</v>
      </c>
    </row>
    <row r="287" spans="1:10" ht="18.75" hidden="1" x14ac:dyDescent="0.3">
      <c r="A287" s="43" t="s">
        <v>250</v>
      </c>
      <c r="B287" s="32"/>
      <c r="C287" s="32"/>
      <c r="D287" s="33">
        <v>832</v>
      </c>
      <c r="E287" s="33">
        <f t="shared" si="49"/>
        <v>865.28</v>
      </c>
      <c r="F287" s="34">
        <f t="shared" si="51"/>
        <v>934.50240000000008</v>
      </c>
      <c r="G287" s="34">
        <f t="shared" si="50"/>
        <v>1009.2625920000002</v>
      </c>
      <c r="H287" s="34"/>
      <c r="I287" s="32"/>
      <c r="J287" s="30" t="s">
        <v>317</v>
      </c>
    </row>
    <row r="288" spans="1:10" ht="18.75" hidden="1" x14ac:dyDescent="0.3">
      <c r="A288" s="43" t="s">
        <v>251</v>
      </c>
      <c r="B288" s="32"/>
      <c r="C288" s="32"/>
      <c r="D288" s="33">
        <v>3640</v>
      </c>
      <c r="E288" s="33">
        <f t="shared" si="49"/>
        <v>3785.6</v>
      </c>
      <c r="F288" s="34">
        <f t="shared" si="51"/>
        <v>4088.4480000000003</v>
      </c>
      <c r="G288" s="34">
        <f t="shared" si="50"/>
        <v>4415.5238400000007</v>
      </c>
      <c r="H288" s="34"/>
      <c r="I288" s="32"/>
      <c r="J288" s="30" t="s">
        <v>317</v>
      </c>
    </row>
    <row r="289" spans="1:10" ht="18.75" hidden="1" x14ac:dyDescent="0.3">
      <c r="A289" s="43" t="s">
        <v>252</v>
      </c>
      <c r="B289" s="32"/>
      <c r="C289" s="32"/>
      <c r="D289" s="33">
        <v>1040</v>
      </c>
      <c r="E289" s="33">
        <f t="shared" si="49"/>
        <v>1081.6000000000001</v>
      </c>
      <c r="F289" s="34">
        <f t="shared" si="51"/>
        <v>1168.1280000000002</v>
      </c>
      <c r="G289" s="34">
        <f t="shared" si="50"/>
        <v>1261.5782400000003</v>
      </c>
      <c r="H289" s="34"/>
      <c r="I289" s="32"/>
      <c r="J289" s="30" t="s">
        <v>317</v>
      </c>
    </row>
    <row r="290" spans="1:10" ht="18.75" hidden="1" x14ac:dyDescent="0.3">
      <c r="A290" s="43" t="s">
        <v>253</v>
      </c>
      <c r="B290" s="32"/>
      <c r="C290" s="32"/>
      <c r="D290" s="33">
        <v>1144</v>
      </c>
      <c r="E290" s="33">
        <f t="shared" si="49"/>
        <v>1189.76</v>
      </c>
      <c r="F290" s="34">
        <f t="shared" si="51"/>
        <v>1284.9408000000001</v>
      </c>
      <c r="G290" s="34">
        <f t="shared" si="50"/>
        <v>1387.7360640000002</v>
      </c>
      <c r="H290" s="34"/>
      <c r="I290" s="32"/>
      <c r="J290" s="30" t="s">
        <v>317</v>
      </c>
    </row>
    <row r="291" spans="1:10" ht="18.75" hidden="1" x14ac:dyDescent="0.3">
      <c r="A291" s="43" t="s">
        <v>254</v>
      </c>
      <c r="B291" s="32"/>
      <c r="C291" s="32"/>
      <c r="D291" s="33">
        <v>1300</v>
      </c>
      <c r="E291" s="33">
        <f t="shared" si="49"/>
        <v>1352</v>
      </c>
      <c r="F291" s="34">
        <f t="shared" si="51"/>
        <v>1460.16</v>
      </c>
      <c r="G291" s="34">
        <f t="shared" si="50"/>
        <v>1576.9728000000002</v>
      </c>
      <c r="H291" s="34"/>
      <c r="I291" s="32"/>
      <c r="J291" s="30" t="s">
        <v>317</v>
      </c>
    </row>
    <row r="292" spans="1:10" ht="18.75" hidden="1" x14ac:dyDescent="0.3">
      <c r="A292" s="43" t="s">
        <v>255</v>
      </c>
      <c r="B292" s="32"/>
      <c r="C292" s="32"/>
      <c r="D292" s="33">
        <v>2704</v>
      </c>
      <c r="E292" s="33">
        <f t="shared" si="49"/>
        <v>2812.1600000000003</v>
      </c>
      <c r="F292" s="34">
        <f t="shared" si="51"/>
        <v>3037.1328000000003</v>
      </c>
      <c r="G292" s="34">
        <f t="shared" si="50"/>
        <v>3280.1034240000004</v>
      </c>
      <c r="H292" s="34"/>
      <c r="I292" s="32"/>
      <c r="J292" s="30" t="s">
        <v>317</v>
      </c>
    </row>
    <row r="293" spans="1:10" ht="18.75" hidden="1" x14ac:dyDescent="0.3">
      <c r="A293" s="43" t="s">
        <v>256</v>
      </c>
      <c r="B293" s="32"/>
      <c r="C293" s="32"/>
      <c r="D293" s="33">
        <v>1456</v>
      </c>
      <c r="E293" s="33">
        <f t="shared" si="49"/>
        <v>1514.24</v>
      </c>
      <c r="F293" s="34">
        <f t="shared" si="51"/>
        <v>1635.3792000000001</v>
      </c>
      <c r="G293" s="34">
        <f t="shared" si="50"/>
        <v>1766.2095360000003</v>
      </c>
      <c r="H293" s="34"/>
      <c r="I293" s="32"/>
      <c r="J293" s="30" t="s">
        <v>317</v>
      </c>
    </row>
    <row r="294" spans="1:10" ht="18.75" hidden="1" x14ac:dyDescent="0.3">
      <c r="A294" s="43" t="s">
        <v>257</v>
      </c>
      <c r="B294" s="32"/>
      <c r="C294" s="32"/>
      <c r="D294" s="33">
        <v>1456</v>
      </c>
      <c r="E294" s="33">
        <f t="shared" si="49"/>
        <v>1514.24</v>
      </c>
      <c r="F294" s="34">
        <f t="shared" si="51"/>
        <v>1635.3792000000001</v>
      </c>
      <c r="G294" s="34">
        <f t="shared" si="50"/>
        <v>1766.2095360000003</v>
      </c>
      <c r="H294" s="34"/>
      <c r="I294" s="32"/>
      <c r="J294" s="30" t="s">
        <v>317</v>
      </c>
    </row>
    <row r="295" spans="1:10" ht="18.75" hidden="1" x14ac:dyDescent="0.3">
      <c r="A295" s="43" t="s">
        <v>258</v>
      </c>
      <c r="B295" s="32"/>
      <c r="C295" s="32"/>
      <c r="D295" s="33">
        <v>2915</v>
      </c>
      <c r="E295" s="33">
        <f t="shared" si="49"/>
        <v>3031.6</v>
      </c>
      <c r="F295" s="34">
        <f t="shared" si="51"/>
        <v>3274.1280000000002</v>
      </c>
      <c r="G295" s="34">
        <f t="shared" si="50"/>
        <v>3536.0582400000003</v>
      </c>
      <c r="H295" s="34"/>
      <c r="I295" s="32"/>
      <c r="J295" s="30" t="s">
        <v>317</v>
      </c>
    </row>
    <row r="296" spans="1:10" ht="18.75" hidden="1" x14ac:dyDescent="0.3">
      <c r="A296" s="43" t="s">
        <v>259</v>
      </c>
      <c r="B296" s="32"/>
      <c r="C296" s="32"/>
      <c r="D296" s="33">
        <v>624</v>
      </c>
      <c r="E296" s="33">
        <f t="shared" si="49"/>
        <v>648.96</v>
      </c>
      <c r="F296" s="34">
        <f t="shared" si="51"/>
        <v>700.87680000000012</v>
      </c>
      <c r="G296" s="34">
        <f t="shared" si="50"/>
        <v>756.94694400000014</v>
      </c>
      <c r="H296" s="34"/>
      <c r="I296" s="32"/>
      <c r="J296" s="30" t="s">
        <v>317</v>
      </c>
    </row>
    <row r="297" spans="1:10" ht="18.75" hidden="1" x14ac:dyDescent="0.3">
      <c r="A297" s="43" t="s">
        <v>260</v>
      </c>
      <c r="B297" s="32"/>
      <c r="C297" s="32"/>
      <c r="D297" s="33">
        <v>1300</v>
      </c>
      <c r="E297" s="33">
        <f t="shared" si="49"/>
        <v>1352</v>
      </c>
      <c r="F297" s="34">
        <f t="shared" si="51"/>
        <v>1460.16</v>
      </c>
      <c r="G297" s="34">
        <f t="shared" si="50"/>
        <v>1576.9728000000002</v>
      </c>
      <c r="H297" s="34"/>
      <c r="I297" s="32"/>
      <c r="J297" s="30" t="s">
        <v>317</v>
      </c>
    </row>
    <row r="298" spans="1:10" ht="18.75" hidden="1" x14ac:dyDescent="0.3">
      <c r="A298" s="43" t="s">
        <v>261</v>
      </c>
      <c r="B298" s="32"/>
      <c r="C298" s="32"/>
      <c r="D298" s="33">
        <v>1248</v>
      </c>
      <c r="E298" s="33">
        <f t="shared" si="49"/>
        <v>1297.92</v>
      </c>
      <c r="F298" s="34">
        <f t="shared" si="51"/>
        <v>1401.7536000000002</v>
      </c>
      <c r="G298" s="34">
        <f t="shared" si="50"/>
        <v>1513.8938880000003</v>
      </c>
      <c r="H298" s="34"/>
      <c r="I298" s="32"/>
      <c r="J298" s="30" t="s">
        <v>317</v>
      </c>
    </row>
    <row r="299" spans="1:10" ht="18.75" hidden="1" x14ac:dyDescent="0.3">
      <c r="A299" s="43" t="s">
        <v>262</v>
      </c>
      <c r="B299" s="32"/>
      <c r="C299" s="32"/>
      <c r="D299" s="33">
        <v>4160</v>
      </c>
      <c r="E299" s="33">
        <f t="shared" si="49"/>
        <v>4326.4000000000005</v>
      </c>
      <c r="F299" s="34">
        <f t="shared" si="51"/>
        <v>4672.5120000000006</v>
      </c>
      <c r="G299" s="34">
        <f t="shared" si="50"/>
        <v>5046.3129600000011</v>
      </c>
      <c r="H299" s="34"/>
      <c r="I299" s="32"/>
      <c r="J299" s="30" t="s">
        <v>317</v>
      </c>
    </row>
    <row r="300" spans="1:10" ht="18.75" hidden="1" x14ac:dyDescent="0.3">
      <c r="A300" s="43" t="s">
        <v>263</v>
      </c>
      <c r="B300" s="32"/>
      <c r="C300" s="32"/>
      <c r="D300" s="33">
        <v>5200</v>
      </c>
      <c r="E300" s="33">
        <f t="shared" si="49"/>
        <v>5408</v>
      </c>
      <c r="F300" s="34">
        <f t="shared" si="51"/>
        <v>5840.64</v>
      </c>
      <c r="G300" s="34">
        <f t="shared" si="50"/>
        <v>6307.8912000000009</v>
      </c>
      <c r="H300" s="34"/>
      <c r="I300" s="32"/>
      <c r="J300" s="30" t="s">
        <v>317</v>
      </c>
    </row>
    <row r="301" spans="1:10" ht="18.75" hidden="1" x14ac:dyDescent="0.3">
      <c r="A301" s="43" t="s">
        <v>264</v>
      </c>
      <c r="B301" s="32"/>
      <c r="C301" s="32"/>
      <c r="D301" s="33">
        <v>3432</v>
      </c>
      <c r="E301" s="33">
        <f t="shared" si="49"/>
        <v>3569.28</v>
      </c>
      <c r="F301" s="34">
        <f t="shared" si="51"/>
        <v>3854.8224000000005</v>
      </c>
      <c r="G301" s="34">
        <f t="shared" si="50"/>
        <v>4163.208192000001</v>
      </c>
      <c r="H301" s="34"/>
      <c r="I301" s="32"/>
      <c r="J301" s="30" t="s">
        <v>317</v>
      </c>
    </row>
    <row r="302" spans="1:10" ht="18.75" hidden="1" x14ac:dyDescent="0.3">
      <c r="A302" s="43" t="s">
        <v>265</v>
      </c>
      <c r="B302" s="32"/>
      <c r="C302" s="32"/>
      <c r="D302" s="33">
        <v>1144</v>
      </c>
      <c r="E302" s="33">
        <f t="shared" si="49"/>
        <v>1189.76</v>
      </c>
      <c r="F302" s="34">
        <f t="shared" si="51"/>
        <v>1284.9408000000001</v>
      </c>
      <c r="G302" s="34">
        <f t="shared" si="50"/>
        <v>1387.7360640000002</v>
      </c>
      <c r="H302" s="34"/>
      <c r="I302" s="32"/>
      <c r="J302" s="30" t="s">
        <v>317</v>
      </c>
    </row>
    <row r="303" spans="1:10" ht="18.75" hidden="1" x14ac:dyDescent="0.3">
      <c r="A303" s="43" t="s">
        <v>266</v>
      </c>
      <c r="B303" s="32"/>
      <c r="C303" s="32"/>
      <c r="D303" s="33">
        <v>884</v>
      </c>
      <c r="E303" s="33">
        <f t="shared" si="49"/>
        <v>919.36</v>
      </c>
      <c r="F303" s="34">
        <f t="shared" si="51"/>
        <v>992.90880000000004</v>
      </c>
      <c r="G303" s="34">
        <f t="shared" si="50"/>
        <v>1072.3415040000002</v>
      </c>
      <c r="H303" s="34"/>
      <c r="I303" s="32"/>
      <c r="J303" s="30" t="s">
        <v>317</v>
      </c>
    </row>
    <row r="304" spans="1:10" ht="18.75" hidden="1" x14ac:dyDescent="0.3">
      <c r="A304" s="43" t="s">
        <v>267</v>
      </c>
      <c r="B304" s="32"/>
      <c r="C304" s="32"/>
      <c r="D304" s="33">
        <v>884</v>
      </c>
      <c r="E304" s="33">
        <f t="shared" si="49"/>
        <v>919.36</v>
      </c>
      <c r="F304" s="34">
        <f t="shared" si="51"/>
        <v>992.90880000000004</v>
      </c>
      <c r="G304" s="34">
        <f t="shared" si="50"/>
        <v>1072.3415040000002</v>
      </c>
      <c r="H304" s="34"/>
      <c r="I304" s="32"/>
      <c r="J304" s="30" t="s">
        <v>317</v>
      </c>
    </row>
    <row r="305" spans="1:10" ht="18.75" hidden="1" x14ac:dyDescent="0.3">
      <c r="A305" s="43" t="s">
        <v>268</v>
      </c>
      <c r="B305" s="32"/>
      <c r="C305" s="32"/>
      <c r="D305" s="33">
        <v>832</v>
      </c>
      <c r="E305" s="33">
        <f t="shared" si="49"/>
        <v>865.28</v>
      </c>
      <c r="F305" s="34">
        <f t="shared" si="51"/>
        <v>934.50240000000008</v>
      </c>
      <c r="G305" s="34">
        <f t="shared" si="50"/>
        <v>1009.2625920000002</v>
      </c>
      <c r="H305" s="34"/>
      <c r="I305" s="32"/>
      <c r="J305" s="30" t="s">
        <v>317</v>
      </c>
    </row>
    <row r="306" spans="1:10" ht="18.75" hidden="1" x14ac:dyDescent="0.3">
      <c r="A306" s="43" t="s">
        <v>269</v>
      </c>
      <c r="B306" s="32"/>
      <c r="C306" s="32"/>
      <c r="D306" s="33">
        <v>988</v>
      </c>
      <c r="E306" s="33">
        <f t="shared" si="49"/>
        <v>1027.52</v>
      </c>
      <c r="F306" s="34">
        <f t="shared" si="51"/>
        <v>1109.7216000000001</v>
      </c>
      <c r="G306" s="34">
        <f t="shared" si="50"/>
        <v>1198.4993280000001</v>
      </c>
      <c r="H306" s="34"/>
      <c r="I306" s="32"/>
      <c r="J306" s="30" t="s">
        <v>317</v>
      </c>
    </row>
    <row r="307" spans="1:10" ht="18.75" hidden="1" x14ac:dyDescent="0.3">
      <c r="A307" s="43" t="s">
        <v>270</v>
      </c>
      <c r="B307" s="32"/>
      <c r="C307" s="32"/>
      <c r="D307" s="33">
        <v>1040</v>
      </c>
      <c r="E307" s="33">
        <f t="shared" si="49"/>
        <v>1081.6000000000001</v>
      </c>
      <c r="F307" s="34">
        <f t="shared" si="51"/>
        <v>1168.1280000000002</v>
      </c>
      <c r="G307" s="34">
        <f t="shared" si="50"/>
        <v>1261.5782400000003</v>
      </c>
      <c r="H307" s="34"/>
      <c r="I307" s="32"/>
      <c r="J307" s="30" t="s">
        <v>317</v>
      </c>
    </row>
    <row r="308" spans="1:10" ht="18.75" hidden="1" x14ac:dyDescent="0.3">
      <c r="A308" s="43" t="s">
        <v>271</v>
      </c>
      <c r="B308" s="32"/>
      <c r="C308" s="32"/>
      <c r="D308" s="33">
        <v>2496</v>
      </c>
      <c r="E308" s="33">
        <f>D308*1.04</f>
        <v>2595.84</v>
      </c>
      <c r="F308" s="34">
        <f>E308*1.08</f>
        <v>2803.5072000000005</v>
      </c>
      <c r="G308" s="34">
        <f t="shared" si="50"/>
        <v>3027.7877760000006</v>
      </c>
      <c r="H308" s="34"/>
      <c r="I308" s="32"/>
      <c r="J308" s="30" t="s">
        <v>317</v>
      </c>
    </row>
    <row r="309" spans="1:10" ht="18.75" hidden="1" x14ac:dyDescent="0.3">
      <c r="A309" s="43"/>
      <c r="B309" s="32"/>
      <c r="C309" s="32"/>
      <c r="D309" s="33"/>
      <c r="E309" s="33"/>
      <c r="F309" s="34"/>
      <c r="G309" s="34"/>
      <c r="H309" s="34"/>
      <c r="I309" s="32"/>
      <c r="J309" s="30"/>
    </row>
    <row r="310" spans="1:10" ht="18.75" hidden="1" x14ac:dyDescent="0.3">
      <c r="A310" s="43"/>
      <c r="B310" s="32"/>
      <c r="C310" s="32"/>
      <c r="D310" s="33"/>
      <c r="E310" s="33"/>
      <c r="F310" s="34"/>
      <c r="G310" s="34"/>
      <c r="H310" s="34"/>
      <c r="I310" s="32"/>
      <c r="J310" s="30"/>
    </row>
    <row r="311" spans="1:10" ht="18.75" hidden="1" x14ac:dyDescent="0.3">
      <c r="A311" s="43"/>
      <c r="B311" s="32"/>
      <c r="C311" s="32"/>
      <c r="D311" s="33"/>
      <c r="E311" s="33"/>
      <c r="F311" s="34"/>
      <c r="G311" s="34"/>
      <c r="H311" s="34"/>
      <c r="I311" s="32"/>
      <c r="J311" s="30"/>
    </row>
    <row r="312" spans="1:10" ht="18.75" hidden="1" x14ac:dyDescent="0.3">
      <c r="A312" s="43"/>
      <c r="B312" s="32"/>
      <c r="C312" s="32"/>
      <c r="D312" s="33"/>
      <c r="E312" s="33"/>
      <c r="F312" s="34"/>
      <c r="G312" s="34"/>
      <c r="H312" s="34"/>
      <c r="I312" s="32"/>
      <c r="J312" s="30"/>
    </row>
    <row r="313" spans="1:10" ht="18.75" hidden="1" x14ac:dyDescent="0.3">
      <c r="A313" s="43"/>
      <c r="B313" s="32"/>
      <c r="C313" s="32"/>
      <c r="D313" s="33"/>
      <c r="E313" s="33"/>
      <c r="F313" s="34"/>
      <c r="G313" s="34"/>
      <c r="H313" s="34"/>
      <c r="I313" s="32"/>
      <c r="J313" s="30"/>
    </row>
    <row r="314" spans="1:10" ht="18.75" hidden="1" x14ac:dyDescent="0.3">
      <c r="A314" s="43"/>
      <c r="B314" s="32"/>
      <c r="C314" s="32"/>
      <c r="D314" s="33"/>
      <c r="E314" s="33"/>
      <c r="F314" s="34"/>
      <c r="G314" s="34"/>
      <c r="H314" s="34"/>
      <c r="I314" s="32"/>
      <c r="J314" s="30"/>
    </row>
    <row r="315" spans="1:10" ht="18.75" hidden="1" x14ac:dyDescent="0.3">
      <c r="A315" s="43"/>
      <c r="B315" s="32"/>
      <c r="C315" s="32"/>
      <c r="D315" s="33"/>
      <c r="E315" s="33"/>
      <c r="F315" s="34"/>
      <c r="G315" s="34"/>
      <c r="H315" s="34"/>
      <c r="I315" s="32"/>
      <c r="J315" s="30"/>
    </row>
    <row r="316" spans="1:10" ht="18.75" hidden="1" x14ac:dyDescent="0.3">
      <c r="A316" s="43"/>
      <c r="B316" s="32"/>
      <c r="C316" s="32"/>
      <c r="D316" s="33"/>
      <c r="E316" s="33"/>
      <c r="F316" s="34"/>
      <c r="G316" s="34"/>
      <c r="H316" s="34"/>
      <c r="I316" s="32"/>
      <c r="J316" s="30"/>
    </row>
    <row r="317" spans="1:10" ht="18.75" hidden="1" x14ac:dyDescent="0.3">
      <c r="A317" s="43"/>
      <c r="B317" s="32"/>
      <c r="C317" s="32"/>
      <c r="D317" s="33"/>
      <c r="E317" s="33"/>
      <c r="F317" s="34"/>
      <c r="G317" s="34"/>
      <c r="H317" s="34"/>
      <c r="I317" s="32"/>
      <c r="J317" s="30"/>
    </row>
    <row r="318" spans="1:10" ht="18.75" hidden="1" x14ac:dyDescent="0.3">
      <c r="A318" s="43"/>
      <c r="B318" s="32"/>
      <c r="C318" s="32"/>
      <c r="D318" s="33"/>
      <c r="E318" s="33"/>
      <c r="F318" s="34"/>
      <c r="G318" s="34"/>
      <c r="H318" s="34"/>
      <c r="I318" s="32"/>
      <c r="J318" s="30"/>
    </row>
    <row r="319" spans="1:10" ht="18.75" hidden="1" x14ac:dyDescent="0.3">
      <c r="A319" s="43"/>
      <c r="B319" s="32"/>
      <c r="C319" s="32"/>
      <c r="D319" s="33"/>
      <c r="E319" s="33"/>
      <c r="F319" s="34"/>
      <c r="G319" s="34"/>
      <c r="H319" s="34"/>
      <c r="I319" s="32"/>
      <c r="J319" s="30"/>
    </row>
    <row r="320" spans="1:10" ht="18.75" hidden="1" x14ac:dyDescent="0.3">
      <c r="A320" s="43"/>
      <c r="B320" s="32"/>
      <c r="C320" s="32"/>
      <c r="D320" s="33"/>
      <c r="E320" s="33"/>
      <c r="F320" s="34"/>
      <c r="G320" s="34"/>
      <c r="H320" s="34"/>
      <c r="I320" s="32"/>
      <c r="J320" s="30"/>
    </row>
    <row r="321" spans="1:10" ht="18.75" hidden="1" x14ac:dyDescent="0.3">
      <c r="A321" s="43"/>
      <c r="B321" s="32"/>
      <c r="C321" s="32"/>
      <c r="D321" s="33"/>
      <c r="E321" s="33"/>
      <c r="F321" s="34"/>
      <c r="G321" s="34"/>
      <c r="H321" s="34"/>
      <c r="I321" s="32"/>
      <c r="J321" s="30"/>
    </row>
    <row r="322" spans="1:10" ht="18.75" hidden="1" x14ac:dyDescent="0.3">
      <c r="A322" s="43"/>
      <c r="B322" s="32"/>
      <c r="C322" s="32"/>
      <c r="D322" s="33"/>
      <c r="E322" s="33"/>
      <c r="F322" s="34"/>
      <c r="G322" s="34"/>
      <c r="H322" s="34"/>
      <c r="I322" s="32"/>
      <c r="J322" s="30"/>
    </row>
    <row r="323" spans="1:10" ht="18.75" hidden="1" x14ac:dyDescent="0.3">
      <c r="A323" s="43"/>
      <c r="B323" s="32"/>
      <c r="C323" s="32"/>
      <c r="D323" s="33"/>
      <c r="E323" s="33"/>
      <c r="F323" s="34"/>
      <c r="G323" s="34"/>
      <c r="H323" s="34"/>
      <c r="I323" s="32"/>
      <c r="J323" s="30"/>
    </row>
    <row r="324" spans="1:10" ht="18.75" hidden="1" x14ac:dyDescent="0.3">
      <c r="A324" s="43" t="s">
        <v>230</v>
      </c>
      <c r="B324" s="32"/>
      <c r="C324" s="32"/>
      <c r="D324" s="33">
        <v>1144</v>
      </c>
      <c r="E324" s="33">
        <f t="shared" si="49"/>
        <v>1189.76</v>
      </c>
      <c r="F324" s="34">
        <f t="shared" si="51"/>
        <v>1284.9408000000001</v>
      </c>
      <c r="G324" s="34">
        <f t="shared" ref="G324:G363" si="52">+F324*$G$6</f>
        <v>1387.7360640000002</v>
      </c>
      <c r="H324" s="34"/>
      <c r="I324" s="32"/>
      <c r="J324" s="30" t="s">
        <v>317</v>
      </c>
    </row>
    <row r="325" spans="1:10" ht="18.75" hidden="1" x14ac:dyDescent="0.3">
      <c r="A325" s="43" t="s">
        <v>272</v>
      </c>
      <c r="B325" s="32"/>
      <c r="C325" s="32"/>
      <c r="D325" s="33">
        <v>3120</v>
      </c>
      <c r="E325" s="33">
        <f t="shared" si="49"/>
        <v>3244.8</v>
      </c>
      <c r="F325" s="34">
        <f t="shared" si="51"/>
        <v>3504.3840000000005</v>
      </c>
      <c r="G325" s="34">
        <f t="shared" si="52"/>
        <v>3784.7347200000008</v>
      </c>
      <c r="H325" s="34"/>
      <c r="I325" s="32"/>
      <c r="J325" s="30" t="s">
        <v>317</v>
      </c>
    </row>
    <row r="326" spans="1:10" ht="18.75" hidden="1" x14ac:dyDescent="0.3">
      <c r="A326" s="43" t="s">
        <v>273</v>
      </c>
      <c r="B326" s="32"/>
      <c r="C326" s="32"/>
      <c r="D326" s="33">
        <v>1144</v>
      </c>
      <c r="E326" s="33">
        <f t="shared" si="49"/>
        <v>1189.76</v>
      </c>
      <c r="F326" s="34">
        <f t="shared" si="51"/>
        <v>1284.9408000000001</v>
      </c>
      <c r="G326" s="34">
        <f t="shared" si="52"/>
        <v>1387.7360640000002</v>
      </c>
      <c r="H326" s="34"/>
      <c r="I326" s="32"/>
      <c r="J326" s="30" t="s">
        <v>317</v>
      </c>
    </row>
    <row r="327" spans="1:10" ht="18.75" hidden="1" x14ac:dyDescent="0.3">
      <c r="A327" s="43" t="s">
        <v>274</v>
      </c>
      <c r="B327" s="32"/>
      <c r="C327" s="32"/>
      <c r="D327" s="33">
        <v>1248</v>
      </c>
      <c r="E327" s="33">
        <f t="shared" si="49"/>
        <v>1297.92</v>
      </c>
      <c r="F327" s="34">
        <f t="shared" si="51"/>
        <v>1401.7536000000002</v>
      </c>
      <c r="G327" s="34">
        <f t="shared" si="52"/>
        <v>1513.8938880000003</v>
      </c>
      <c r="H327" s="34"/>
      <c r="I327" s="32"/>
      <c r="J327" s="30" t="s">
        <v>317</v>
      </c>
    </row>
    <row r="328" spans="1:10" ht="18.75" hidden="1" x14ac:dyDescent="0.3">
      <c r="A328" s="43" t="s">
        <v>275</v>
      </c>
      <c r="B328" s="32"/>
      <c r="C328" s="32"/>
      <c r="D328" s="33">
        <v>1872</v>
      </c>
      <c r="E328" s="33">
        <f t="shared" si="49"/>
        <v>1946.88</v>
      </c>
      <c r="F328" s="34">
        <f t="shared" si="51"/>
        <v>2102.6304000000005</v>
      </c>
      <c r="G328" s="34">
        <f t="shared" si="52"/>
        <v>2270.8408320000008</v>
      </c>
      <c r="H328" s="34"/>
      <c r="I328" s="32"/>
      <c r="J328" s="30" t="s">
        <v>317</v>
      </c>
    </row>
    <row r="329" spans="1:10" ht="18.75" hidden="1" x14ac:dyDescent="0.3">
      <c r="A329" s="43" t="s">
        <v>276</v>
      </c>
      <c r="B329" s="32"/>
      <c r="C329" s="32"/>
      <c r="D329" s="33">
        <v>1768</v>
      </c>
      <c r="E329" s="33">
        <f t="shared" si="49"/>
        <v>1838.72</v>
      </c>
      <c r="F329" s="34">
        <f t="shared" si="51"/>
        <v>1985.8176000000001</v>
      </c>
      <c r="G329" s="34">
        <f t="shared" si="52"/>
        <v>2144.6830080000004</v>
      </c>
      <c r="H329" s="34"/>
      <c r="I329" s="32"/>
      <c r="J329" s="30" t="s">
        <v>317</v>
      </c>
    </row>
    <row r="330" spans="1:10" ht="18.75" hidden="1" x14ac:dyDescent="0.3">
      <c r="A330" s="43" t="s">
        <v>229</v>
      </c>
      <c r="B330" s="32"/>
      <c r="C330" s="32"/>
      <c r="D330" s="33">
        <v>6901.44</v>
      </c>
      <c r="E330" s="33">
        <f t="shared" si="49"/>
        <v>7177.4975999999997</v>
      </c>
      <c r="F330" s="34">
        <f t="shared" si="51"/>
        <v>7751.697408</v>
      </c>
      <c r="G330" s="34">
        <f t="shared" si="52"/>
        <v>8371.8332006400015</v>
      </c>
      <c r="H330" s="34"/>
      <c r="I330" s="32"/>
      <c r="J330" s="30" t="s">
        <v>317</v>
      </c>
    </row>
    <row r="331" spans="1:10" ht="18.75" hidden="1" x14ac:dyDescent="0.3">
      <c r="A331" s="43" t="s">
        <v>277</v>
      </c>
      <c r="B331" s="32"/>
      <c r="C331" s="32"/>
      <c r="D331" s="33">
        <v>2811.96</v>
      </c>
      <c r="E331" s="33">
        <f t="shared" si="49"/>
        <v>2924.4384</v>
      </c>
      <c r="F331" s="34">
        <f t="shared" si="51"/>
        <v>3158.3934720000002</v>
      </c>
      <c r="G331" s="34">
        <f t="shared" si="52"/>
        <v>3411.0649497600002</v>
      </c>
      <c r="H331" s="34"/>
      <c r="I331" s="32"/>
      <c r="J331" s="30" t="s">
        <v>317</v>
      </c>
    </row>
    <row r="332" spans="1:10" ht="18.75" hidden="1" x14ac:dyDescent="0.3">
      <c r="A332" s="43" t="s">
        <v>225</v>
      </c>
      <c r="B332" s="32"/>
      <c r="C332" s="32"/>
      <c r="D332" s="33">
        <v>1248</v>
      </c>
      <c r="E332" s="33">
        <f t="shared" si="49"/>
        <v>1297.92</v>
      </c>
      <c r="F332" s="34">
        <f t="shared" si="51"/>
        <v>1401.7536000000002</v>
      </c>
      <c r="G332" s="34">
        <f t="shared" si="52"/>
        <v>1513.8938880000003</v>
      </c>
      <c r="H332" s="34"/>
      <c r="I332" s="32"/>
      <c r="J332" s="30" t="s">
        <v>317</v>
      </c>
    </row>
    <row r="333" spans="1:10" ht="18.75" hidden="1" x14ac:dyDescent="0.3">
      <c r="A333" s="43" t="s">
        <v>278</v>
      </c>
      <c r="B333" s="32"/>
      <c r="C333" s="32"/>
      <c r="D333" s="33">
        <v>1300</v>
      </c>
      <c r="E333" s="33">
        <f t="shared" si="49"/>
        <v>1352</v>
      </c>
      <c r="F333" s="34">
        <f t="shared" si="51"/>
        <v>1460.16</v>
      </c>
      <c r="G333" s="34">
        <f t="shared" si="52"/>
        <v>1576.9728000000002</v>
      </c>
      <c r="H333" s="34"/>
      <c r="I333" s="32"/>
      <c r="J333" s="30" t="s">
        <v>317</v>
      </c>
    </row>
    <row r="334" spans="1:10" ht="18.75" hidden="1" x14ac:dyDescent="0.3">
      <c r="A334" s="43" t="s">
        <v>279</v>
      </c>
      <c r="B334" s="32"/>
      <c r="C334" s="32"/>
      <c r="D334" s="33">
        <v>3536</v>
      </c>
      <c r="E334" s="33">
        <f t="shared" si="49"/>
        <v>3677.44</v>
      </c>
      <c r="F334" s="34">
        <f t="shared" si="51"/>
        <v>3971.6352000000002</v>
      </c>
      <c r="G334" s="34">
        <f t="shared" si="52"/>
        <v>4289.3660160000009</v>
      </c>
      <c r="H334" s="34"/>
      <c r="I334" s="32"/>
      <c r="J334" s="30" t="s">
        <v>317</v>
      </c>
    </row>
    <row r="335" spans="1:10" ht="18.75" hidden="1" x14ac:dyDescent="0.3">
      <c r="A335" s="43" t="s">
        <v>280</v>
      </c>
      <c r="B335" s="32"/>
      <c r="C335" s="32"/>
      <c r="D335" s="33">
        <v>6136</v>
      </c>
      <c r="E335" s="33">
        <f t="shared" si="49"/>
        <v>6381.4400000000005</v>
      </c>
      <c r="F335" s="34">
        <f t="shared" si="51"/>
        <v>6891.9552000000012</v>
      </c>
      <c r="G335" s="34">
        <f t="shared" si="52"/>
        <v>7443.3116160000018</v>
      </c>
      <c r="H335" s="34"/>
      <c r="I335" s="32"/>
      <c r="J335" s="30" t="s">
        <v>317</v>
      </c>
    </row>
    <row r="336" spans="1:10" ht="18.75" hidden="1" x14ac:dyDescent="0.3">
      <c r="A336" s="43" t="s">
        <v>281</v>
      </c>
      <c r="B336" s="32"/>
      <c r="C336" s="32"/>
      <c r="D336" s="33">
        <v>780</v>
      </c>
      <c r="E336" s="33">
        <f t="shared" si="49"/>
        <v>811.2</v>
      </c>
      <c r="F336" s="34">
        <f t="shared" si="51"/>
        <v>876.09600000000012</v>
      </c>
      <c r="G336" s="34">
        <f t="shared" si="52"/>
        <v>946.18368000000021</v>
      </c>
      <c r="H336" s="34"/>
      <c r="I336" s="32"/>
      <c r="J336" s="30" t="s">
        <v>317</v>
      </c>
    </row>
    <row r="337" spans="1:10" ht="18.75" hidden="1" x14ac:dyDescent="0.3">
      <c r="A337" s="43" t="s">
        <v>215</v>
      </c>
      <c r="B337" s="32"/>
      <c r="C337" s="32"/>
      <c r="D337" s="33">
        <v>2626.58</v>
      </c>
      <c r="E337" s="33">
        <f t="shared" si="49"/>
        <v>2731.6432</v>
      </c>
      <c r="F337" s="34">
        <f t="shared" si="51"/>
        <v>2950.1746560000001</v>
      </c>
      <c r="G337" s="34">
        <f t="shared" si="52"/>
        <v>3186.1886284800003</v>
      </c>
      <c r="H337" s="34"/>
      <c r="I337" s="32"/>
      <c r="J337" s="30" t="s">
        <v>317</v>
      </c>
    </row>
    <row r="338" spans="1:10" ht="18.75" hidden="1" x14ac:dyDescent="0.3">
      <c r="A338" s="43" t="s">
        <v>282</v>
      </c>
      <c r="B338" s="32"/>
      <c r="C338" s="32"/>
      <c r="D338" s="33">
        <v>1300</v>
      </c>
      <c r="E338" s="33">
        <f t="shared" si="49"/>
        <v>1352</v>
      </c>
      <c r="F338" s="34">
        <f t="shared" si="51"/>
        <v>1460.16</v>
      </c>
      <c r="G338" s="34">
        <f t="shared" si="52"/>
        <v>1576.9728000000002</v>
      </c>
      <c r="H338" s="34"/>
      <c r="I338" s="32"/>
      <c r="J338" s="30" t="s">
        <v>317</v>
      </c>
    </row>
    <row r="339" spans="1:10" ht="18.75" hidden="1" x14ac:dyDescent="0.3">
      <c r="A339" s="43" t="s">
        <v>283</v>
      </c>
      <c r="B339" s="32"/>
      <c r="C339" s="32"/>
      <c r="D339" s="33">
        <v>1560</v>
      </c>
      <c r="E339" s="33">
        <f t="shared" si="49"/>
        <v>1622.4</v>
      </c>
      <c r="F339" s="34">
        <f t="shared" si="51"/>
        <v>1752.1920000000002</v>
      </c>
      <c r="G339" s="34">
        <f t="shared" si="52"/>
        <v>1892.3673600000004</v>
      </c>
      <c r="H339" s="34"/>
      <c r="I339" s="32"/>
      <c r="J339" s="30" t="s">
        <v>317</v>
      </c>
    </row>
    <row r="340" spans="1:10" ht="18.75" hidden="1" x14ac:dyDescent="0.3">
      <c r="A340" s="43" t="s">
        <v>284</v>
      </c>
      <c r="B340" s="32"/>
      <c r="C340" s="32"/>
      <c r="D340" s="33">
        <v>936</v>
      </c>
      <c r="E340" s="33">
        <f t="shared" si="49"/>
        <v>973.44</v>
      </c>
      <c r="F340" s="34">
        <f t="shared" si="51"/>
        <v>1051.3152000000002</v>
      </c>
      <c r="G340" s="34">
        <f t="shared" si="52"/>
        <v>1135.4204160000004</v>
      </c>
      <c r="H340" s="34"/>
      <c r="I340" s="32"/>
      <c r="J340" s="30" t="s">
        <v>317</v>
      </c>
    </row>
    <row r="341" spans="1:10" ht="18.75" hidden="1" x14ac:dyDescent="0.3">
      <c r="A341" s="43" t="s">
        <v>285</v>
      </c>
      <c r="B341" s="32"/>
      <c r="C341" s="32"/>
      <c r="D341" s="33">
        <v>1144</v>
      </c>
      <c r="E341" s="33">
        <f t="shared" si="49"/>
        <v>1189.76</v>
      </c>
      <c r="F341" s="34">
        <f t="shared" si="51"/>
        <v>1284.9408000000001</v>
      </c>
      <c r="G341" s="34">
        <f t="shared" si="52"/>
        <v>1387.7360640000002</v>
      </c>
      <c r="H341" s="34"/>
      <c r="I341" s="32"/>
      <c r="J341" s="30" t="s">
        <v>317</v>
      </c>
    </row>
    <row r="342" spans="1:10" ht="18.75" hidden="1" x14ac:dyDescent="0.3">
      <c r="A342" s="43" t="s">
        <v>286</v>
      </c>
      <c r="B342" s="32"/>
      <c r="C342" s="32"/>
      <c r="D342" s="33">
        <v>1196</v>
      </c>
      <c r="E342" s="33">
        <f t="shared" si="49"/>
        <v>1243.8400000000001</v>
      </c>
      <c r="F342" s="34">
        <f t="shared" si="51"/>
        <v>1343.3472000000002</v>
      </c>
      <c r="G342" s="34">
        <f t="shared" si="52"/>
        <v>1450.8149760000003</v>
      </c>
      <c r="H342" s="34"/>
      <c r="I342" s="32"/>
      <c r="J342" s="30" t="s">
        <v>317</v>
      </c>
    </row>
    <row r="343" spans="1:10" ht="18.75" hidden="1" x14ac:dyDescent="0.3">
      <c r="A343" s="43" t="s">
        <v>287</v>
      </c>
      <c r="B343" s="32"/>
      <c r="C343" s="32"/>
      <c r="D343" s="33">
        <v>1300</v>
      </c>
      <c r="E343" s="33">
        <f t="shared" si="49"/>
        <v>1352</v>
      </c>
      <c r="F343" s="34">
        <f t="shared" si="51"/>
        <v>1460.16</v>
      </c>
      <c r="G343" s="34">
        <f t="shared" si="52"/>
        <v>1576.9728000000002</v>
      </c>
      <c r="H343" s="34"/>
      <c r="I343" s="32"/>
      <c r="J343" s="30" t="s">
        <v>317</v>
      </c>
    </row>
    <row r="344" spans="1:10" ht="18.75" hidden="1" x14ac:dyDescent="0.3">
      <c r="A344" s="43" t="s">
        <v>288</v>
      </c>
      <c r="B344" s="32"/>
      <c r="C344" s="32"/>
      <c r="D344" s="33">
        <v>832</v>
      </c>
      <c r="E344" s="33">
        <f t="shared" si="49"/>
        <v>865.28</v>
      </c>
      <c r="F344" s="34">
        <f t="shared" si="51"/>
        <v>934.50240000000008</v>
      </c>
      <c r="G344" s="34">
        <f t="shared" si="52"/>
        <v>1009.2625920000002</v>
      </c>
      <c r="H344" s="34"/>
      <c r="I344" s="32"/>
      <c r="J344" s="30" t="s">
        <v>317</v>
      </c>
    </row>
    <row r="345" spans="1:10" ht="18.75" hidden="1" x14ac:dyDescent="0.3">
      <c r="A345" s="43" t="s">
        <v>289</v>
      </c>
      <c r="B345" s="32"/>
      <c r="C345" s="32"/>
      <c r="D345" s="33">
        <v>936</v>
      </c>
      <c r="E345" s="33">
        <f t="shared" si="49"/>
        <v>973.44</v>
      </c>
      <c r="F345" s="34">
        <f t="shared" si="51"/>
        <v>1051.3152000000002</v>
      </c>
      <c r="G345" s="34">
        <f t="shared" si="52"/>
        <v>1135.4204160000004</v>
      </c>
      <c r="H345" s="34"/>
      <c r="I345" s="32"/>
      <c r="J345" s="30" t="s">
        <v>317</v>
      </c>
    </row>
    <row r="346" spans="1:10" ht="18.75" hidden="1" x14ac:dyDescent="0.3">
      <c r="A346" s="43" t="s">
        <v>290</v>
      </c>
      <c r="B346" s="32"/>
      <c r="C346" s="32"/>
      <c r="D346" s="33">
        <v>1300</v>
      </c>
      <c r="E346" s="33">
        <f t="shared" si="49"/>
        <v>1352</v>
      </c>
      <c r="F346" s="34">
        <f t="shared" si="51"/>
        <v>1460.16</v>
      </c>
      <c r="G346" s="34">
        <f t="shared" si="52"/>
        <v>1576.9728000000002</v>
      </c>
      <c r="H346" s="34"/>
      <c r="I346" s="32"/>
      <c r="J346" s="30" t="s">
        <v>317</v>
      </c>
    </row>
    <row r="347" spans="1:10" ht="18.75" hidden="1" x14ac:dyDescent="0.3">
      <c r="A347" s="43" t="s">
        <v>233</v>
      </c>
      <c r="B347" s="32"/>
      <c r="C347" s="32"/>
      <c r="D347" s="33">
        <v>1310.4000000000001</v>
      </c>
      <c r="E347" s="33">
        <f t="shared" si="49"/>
        <v>1362.816</v>
      </c>
      <c r="F347" s="34">
        <f t="shared" si="51"/>
        <v>1471.8412800000001</v>
      </c>
      <c r="G347" s="34">
        <f t="shared" si="52"/>
        <v>1589.5885824000002</v>
      </c>
      <c r="H347" s="34"/>
      <c r="I347" s="32"/>
      <c r="J347" s="30" t="s">
        <v>317</v>
      </c>
    </row>
    <row r="348" spans="1:10" ht="18.75" hidden="1" x14ac:dyDescent="0.3">
      <c r="A348" s="43" t="s">
        <v>291</v>
      </c>
      <c r="B348" s="32"/>
      <c r="C348" s="32"/>
      <c r="D348" s="33">
        <v>2496</v>
      </c>
      <c r="E348" s="33">
        <f t="shared" si="49"/>
        <v>2595.84</v>
      </c>
      <c r="F348" s="34">
        <f t="shared" si="51"/>
        <v>2803.5072000000005</v>
      </c>
      <c r="G348" s="34">
        <f t="shared" si="52"/>
        <v>3027.7877760000006</v>
      </c>
      <c r="H348" s="34"/>
      <c r="I348" s="32"/>
      <c r="J348" s="30" t="s">
        <v>317</v>
      </c>
    </row>
    <row r="349" spans="1:10" ht="18.75" hidden="1" x14ac:dyDescent="0.3">
      <c r="A349" s="43" t="s">
        <v>292</v>
      </c>
      <c r="B349" s="32"/>
      <c r="C349" s="32"/>
      <c r="D349" s="33">
        <v>1144</v>
      </c>
      <c r="E349" s="33">
        <f t="shared" si="49"/>
        <v>1189.76</v>
      </c>
      <c r="F349" s="34">
        <f t="shared" si="51"/>
        <v>1284.9408000000001</v>
      </c>
      <c r="G349" s="34">
        <f t="shared" si="52"/>
        <v>1387.7360640000002</v>
      </c>
      <c r="H349" s="34"/>
      <c r="I349" s="32"/>
      <c r="J349" s="30" t="s">
        <v>317</v>
      </c>
    </row>
    <row r="350" spans="1:10" ht="18.75" hidden="1" x14ac:dyDescent="0.3">
      <c r="A350" s="43" t="s">
        <v>293</v>
      </c>
      <c r="B350" s="32"/>
      <c r="C350" s="32"/>
      <c r="D350" s="33">
        <v>1196</v>
      </c>
      <c r="E350" s="33">
        <f t="shared" si="49"/>
        <v>1243.8400000000001</v>
      </c>
      <c r="F350" s="34">
        <f t="shared" si="51"/>
        <v>1343.3472000000002</v>
      </c>
      <c r="G350" s="34">
        <f t="shared" si="52"/>
        <v>1450.8149760000003</v>
      </c>
      <c r="H350" s="34"/>
      <c r="I350" s="32"/>
      <c r="J350" s="30" t="s">
        <v>317</v>
      </c>
    </row>
    <row r="351" spans="1:10" ht="18.75" hidden="1" x14ac:dyDescent="0.3">
      <c r="A351" s="43" t="s">
        <v>294</v>
      </c>
      <c r="B351" s="32"/>
      <c r="C351" s="32"/>
      <c r="D351" s="33">
        <v>832</v>
      </c>
      <c r="E351" s="33">
        <f t="shared" si="49"/>
        <v>865.28</v>
      </c>
      <c r="F351" s="34">
        <f t="shared" si="51"/>
        <v>934.50240000000008</v>
      </c>
      <c r="G351" s="34">
        <f t="shared" si="52"/>
        <v>1009.2625920000002</v>
      </c>
      <c r="H351" s="34"/>
      <c r="I351" s="32"/>
      <c r="J351" s="30" t="s">
        <v>317</v>
      </c>
    </row>
    <row r="352" spans="1:10" ht="18.75" hidden="1" x14ac:dyDescent="0.3">
      <c r="A352" s="43" t="s">
        <v>295</v>
      </c>
      <c r="B352" s="32"/>
      <c r="C352" s="32"/>
      <c r="D352" s="33">
        <v>1872</v>
      </c>
      <c r="E352" s="33">
        <f t="shared" ref="E352:E385" si="53">D352*1.04</f>
        <v>1946.88</v>
      </c>
      <c r="F352" s="34">
        <f t="shared" si="51"/>
        <v>2102.6304000000005</v>
      </c>
      <c r="G352" s="34">
        <f t="shared" si="52"/>
        <v>2270.8408320000008</v>
      </c>
      <c r="H352" s="34"/>
      <c r="I352" s="32"/>
      <c r="J352" s="30" t="s">
        <v>317</v>
      </c>
    </row>
    <row r="353" spans="1:10" ht="18.75" hidden="1" x14ac:dyDescent="0.3">
      <c r="A353" s="43" t="s">
        <v>296</v>
      </c>
      <c r="B353" s="32"/>
      <c r="C353" s="32"/>
      <c r="D353" s="33">
        <v>1456</v>
      </c>
      <c r="E353" s="33">
        <f t="shared" si="53"/>
        <v>1514.24</v>
      </c>
      <c r="F353" s="34">
        <f t="shared" ref="F353:F385" si="54">E353*1.08</f>
        <v>1635.3792000000001</v>
      </c>
      <c r="G353" s="34">
        <f t="shared" si="52"/>
        <v>1766.2095360000003</v>
      </c>
      <c r="H353" s="34"/>
      <c r="I353" s="32"/>
      <c r="J353" s="30" t="s">
        <v>317</v>
      </c>
    </row>
    <row r="354" spans="1:10" ht="18.75" hidden="1" x14ac:dyDescent="0.3">
      <c r="A354" s="43" t="s">
        <v>297</v>
      </c>
      <c r="B354" s="32"/>
      <c r="C354" s="32"/>
      <c r="D354" s="33">
        <v>780</v>
      </c>
      <c r="E354" s="33">
        <f t="shared" si="53"/>
        <v>811.2</v>
      </c>
      <c r="F354" s="34">
        <f t="shared" si="54"/>
        <v>876.09600000000012</v>
      </c>
      <c r="G354" s="34">
        <f t="shared" si="52"/>
        <v>946.18368000000021</v>
      </c>
      <c r="H354" s="34"/>
      <c r="I354" s="32"/>
      <c r="J354" s="30" t="s">
        <v>317</v>
      </c>
    </row>
    <row r="355" spans="1:10" ht="18.75" hidden="1" x14ac:dyDescent="0.3">
      <c r="A355" s="43" t="s">
        <v>298</v>
      </c>
      <c r="B355" s="32"/>
      <c r="C355" s="32"/>
      <c r="D355" s="33">
        <v>1144</v>
      </c>
      <c r="E355" s="33">
        <f t="shared" si="53"/>
        <v>1189.76</v>
      </c>
      <c r="F355" s="34">
        <f t="shared" si="54"/>
        <v>1284.9408000000001</v>
      </c>
      <c r="G355" s="34">
        <f t="shared" si="52"/>
        <v>1387.7360640000002</v>
      </c>
      <c r="H355" s="34"/>
      <c r="I355" s="32"/>
      <c r="J355" s="30" t="s">
        <v>317</v>
      </c>
    </row>
    <row r="356" spans="1:10" ht="18.75" hidden="1" x14ac:dyDescent="0.3">
      <c r="A356" s="43" t="s">
        <v>299</v>
      </c>
      <c r="B356" s="32"/>
      <c r="C356" s="32"/>
      <c r="D356" s="33">
        <v>1456</v>
      </c>
      <c r="E356" s="33">
        <f t="shared" si="53"/>
        <v>1514.24</v>
      </c>
      <c r="F356" s="34">
        <f t="shared" si="54"/>
        <v>1635.3792000000001</v>
      </c>
      <c r="G356" s="34">
        <f t="shared" si="52"/>
        <v>1766.2095360000003</v>
      </c>
      <c r="H356" s="34"/>
      <c r="I356" s="32"/>
      <c r="J356" s="30" t="s">
        <v>317</v>
      </c>
    </row>
    <row r="357" spans="1:10" ht="18.75" hidden="1" x14ac:dyDescent="0.3">
      <c r="A357" s="43" t="s">
        <v>300</v>
      </c>
      <c r="B357" s="32"/>
      <c r="C357" s="32"/>
      <c r="D357" s="33">
        <v>780</v>
      </c>
      <c r="E357" s="33">
        <f t="shared" si="53"/>
        <v>811.2</v>
      </c>
      <c r="F357" s="34">
        <f t="shared" si="54"/>
        <v>876.09600000000012</v>
      </c>
      <c r="G357" s="34">
        <f t="shared" si="52"/>
        <v>946.18368000000021</v>
      </c>
      <c r="H357" s="34"/>
      <c r="I357" s="32"/>
      <c r="J357" s="30" t="s">
        <v>317</v>
      </c>
    </row>
    <row r="358" spans="1:10" ht="18.75" hidden="1" x14ac:dyDescent="0.3">
      <c r="A358" s="43" t="s">
        <v>301</v>
      </c>
      <c r="B358" s="32"/>
      <c r="C358" s="32"/>
      <c r="D358" s="33">
        <v>1040</v>
      </c>
      <c r="E358" s="33">
        <f t="shared" si="53"/>
        <v>1081.6000000000001</v>
      </c>
      <c r="F358" s="34">
        <f t="shared" si="54"/>
        <v>1168.1280000000002</v>
      </c>
      <c r="G358" s="34">
        <f t="shared" si="52"/>
        <v>1261.5782400000003</v>
      </c>
      <c r="H358" s="34"/>
      <c r="I358" s="32"/>
      <c r="J358" s="30" t="s">
        <v>317</v>
      </c>
    </row>
    <row r="359" spans="1:10" ht="18.75" hidden="1" x14ac:dyDescent="0.3">
      <c r="A359" s="43" t="s">
        <v>302</v>
      </c>
      <c r="B359" s="32"/>
      <c r="C359" s="32"/>
      <c r="D359" s="33">
        <v>780</v>
      </c>
      <c r="E359" s="33">
        <f t="shared" si="53"/>
        <v>811.2</v>
      </c>
      <c r="F359" s="34">
        <f t="shared" si="54"/>
        <v>876.09600000000012</v>
      </c>
      <c r="G359" s="34">
        <f t="shared" si="52"/>
        <v>946.18368000000021</v>
      </c>
      <c r="H359" s="34"/>
      <c r="I359" s="32"/>
      <c r="J359" s="30" t="s">
        <v>317</v>
      </c>
    </row>
    <row r="360" spans="1:10" ht="18.75" hidden="1" x14ac:dyDescent="0.3">
      <c r="A360" s="43" t="s">
        <v>303</v>
      </c>
      <c r="B360" s="32"/>
      <c r="C360" s="32"/>
      <c r="D360" s="33">
        <v>8320</v>
      </c>
      <c r="E360" s="33">
        <f t="shared" si="53"/>
        <v>8652.8000000000011</v>
      </c>
      <c r="F360" s="34">
        <f t="shared" si="54"/>
        <v>9345.0240000000013</v>
      </c>
      <c r="G360" s="34">
        <f t="shared" si="52"/>
        <v>10092.625920000002</v>
      </c>
      <c r="H360" s="34"/>
      <c r="I360" s="32"/>
      <c r="J360" s="30" t="s">
        <v>317</v>
      </c>
    </row>
    <row r="361" spans="1:10" ht="18.75" hidden="1" x14ac:dyDescent="0.3">
      <c r="A361" s="43" t="s">
        <v>304</v>
      </c>
      <c r="B361" s="32"/>
      <c r="C361" s="32"/>
      <c r="D361" s="33">
        <v>780</v>
      </c>
      <c r="E361" s="33">
        <f t="shared" si="53"/>
        <v>811.2</v>
      </c>
      <c r="F361" s="34">
        <f t="shared" si="54"/>
        <v>876.09600000000012</v>
      </c>
      <c r="G361" s="34">
        <f t="shared" si="52"/>
        <v>946.18368000000021</v>
      </c>
      <c r="H361" s="34"/>
      <c r="I361" s="32"/>
      <c r="J361" s="30" t="s">
        <v>317</v>
      </c>
    </row>
    <row r="362" spans="1:10" ht="18.75" hidden="1" x14ac:dyDescent="0.3">
      <c r="A362" s="43" t="s">
        <v>305</v>
      </c>
      <c r="B362" s="32"/>
      <c r="C362" s="32"/>
      <c r="D362" s="33">
        <v>780</v>
      </c>
      <c r="E362" s="33">
        <f t="shared" si="53"/>
        <v>811.2</v>
      </c>
      <c r="F362" s="34">
        <f t="shared" si="54"/>
        <v>876.09600000000012</v>
      </c>
      <c r="G362" s="34">
        <f t="shared" si="52"/>
        <v>946.18368000000021</v>
      </c>
      <c r="H362" s="34"/>
      <c r="I362" s="32"/>
      <c r="J362" s="30" t="s">
        <v>317</v>
      </c>
    </row>
    <row r="363" spans="1:10" ht="18.75" hidden="1" x14ac:dyDescent="0.3">
      <c r="A363" s="43" t="s">
        <v>306</v>
      </c>
      <c r="B363" s="32"/>
      <c r="C363" s="32"/>
      <c r="D363" s="33">
        <v>1248</v>
      </c>
      <c r="E363" s="33">
        <f t="shared" si="53"/>
        <v>1297.92</v>
      </c>
      <c r="F363" s="34">
        <f t="shared" si="54"/>
        <v>1401.7536000000002</v>
      </c>
      <c r="G363" s="34">
        <f t="shared" si="52"/>
        <v>1513.8938880000003</v>
      </c>
      <c r="H363" s="34"/>
      <c r="I363" s="32"/>
      <c r="J363" s="30" t="s">
        <v>317</v>
      </c>
    </row>
    <row r="364" spans="1:10" ht="18.75" hidden="1" x14ac:dyDescent="0.3">
      <c r="A364" s="43"/>
      <c r="B364" s="32"/>
      <c r="C364" s="32"/>
      <c r="D364" s="33"/>
      <c r="E364" s="33"/>
      <c r="F364" s="34"/>
      <c r="G364" s="34"/>
      <c r="H364" s="34"/>
      <c r="I364" s="32"/>
      <c r="J364" s="30"/>
    </row>
    <row r="365" spans="1:10" ht="18.75" hidden="1" x14ac:dyDescent="0.3">
      <c r="A365" s="43"/>
      <c r="B365" s="32"/>
      <c r="C365" s="32"/>
      <c r="D365" s="33"/>
      <c r="E365" s="33"/>
      <c r="F365" s="34"/>
      <c r="G365" s="34"/>
      <c r="H365" s="34"/>
      <c r="I365" s="32"/>
      <c r="J365" s="30"/>
    </row>
    <row r="366" spans="1:10" ht="18.75" hidden="1" x14ac:dyDescent="0.3">
      <c r="A366" s="43"/>
      <c r="B366" s="32"/>
      <c r="C366" s="32"/>
      <c r="D366" s="33"/>
      <c r="E366" s="33"/>
      <c r="F366" s="34"/>
      <c r="G366" s="34"/>
      <c r="H366" s="34"/>
      <c r="I366" s="32"/>
      <c r="J366" s="30"/>
    </row>
    <row r="367" spans="1:10" ht="18.75" hidden="1" x14ac:dyDescent="0.3">
      <c r="A367" s="43"/>
      <c r="B367" s="32"/>
      <c r="C367" s="32"/>
      <c r="D367" s="33"/>
      <c r="E367" s="33"/>
      <c r="F367" s="34"/>
      <c r="G367" s="34"/>
      <c r="H367" s="34"/>
      <c r="I367" s="32"/>
      <c r="J367" s="30"/>
    </row>
    <row r="368" spans="1:10" ht="18.75" hidden="1" x14ac:dyDescent="0.3">
      <c r="A368" s="43"/>
      <c r="B368" s="32"/>
      <c r="C368" s="32"/>
      <c r="D368" s="33"/>
      <c r="E368" s="33"/>
      <c r="F368" s="34"/>
      <c r="G368" s="34"/>
      <c r="H368" s="34"/>
      <c r="I368" s="32"/>
      <c r="J368" s="30"/>
    </row>
    <row r="369" spans="1:10" ht="18.75" hidden="1" x14ac:dyDescent="0.3">
      <c r="A369" s="43"/>
      <c r="B369" s="32"/>
      <c r="C369" s="32"/>
      <c r="D369" s="33"/>
      <c r="E369" s="33"/>
      <c r="F369" s="34"/>
      <c r="G369" s="34"/>
      <c r="H369" s="34"/>
      <c r="I369" s="32"/>
      <c r="J369" s="30"/>
    </row>
    <row r="370" spans="1:10" ht="18.75" hidden="1" x14ac:dyDescent="0.3">
      <c r="A370" s="43"/>
      <c r="B370" s="32"/>
      <c r="C370" s="32"/>
      <c r="D370" s="33"/>
      <c r="E370" s="33"/>
      <c r="F370" s="34"/>
      <c r="G370" s="34"/>
      <c r="H370" s="34"/>
      <c r="I370" s="32"/>
      <c r="J370" s="30"/>
    </row>
    <row r="371" spans="1:10" ht="18.75" hidden="1" x14ac:dyDescent="0.3">
      <c r="A371" s="43"/>
      <c r="B371" s="32"/>
      <c r="C371" s="32"/>
      <c r="D371" s="33"/>
      <c r="E371" s="33"/>
      <c r="F371" s="34"/>
      <c r="G371" s="34"/>
      <c r="H371" s="34"/>
      <c r="I371" s="32"/>
      <c r="J371" s="30"/>
    </row>
    <row r="372" spans="1:10" ht="18.75" hidden="1" x14ac:dyDescent="0.3">
      <c r="A372" s="43"/>
      <c r="B372" s="32"/>
      <c r="C372" s="32"/>
      <c r="D372" s="33"/>
      <c r="E372" s="33"/>
      <c r="F372" s="34"/>
      <c r="G372" s="34"/>
      <c r="H372" s="34"/>
      <c r="I372" s="32"/>
      <c r="J372" s="30"/>
    </row>
    <row r="373" spans="1:10" ht="18.75" hidden="1" x14ac:dyDescent="0.3">
      <c r="A373" s="43"/>
      <c r="B373" s="32"/>
      <c r="C373" s="32"/>
      <c r="D373" s="33"/>
      <c r="E373" s="33"/>
      <c r="F373" s="34"/>
      <c r="G373" s="34"/>
      <c r="H373" s="34"/>
      <c r="I373" s="32"/>
      <c r="J373" s="30"/>
    </row>
    <row r="374" spans="1:10" ht="18.75" hidden="1" x14ac:dyDescent="0.3">
      <c r="A374" s="43"/>
      <c r="B374" s="32"/>
      <c r="C374" s="32"/>
      <c r="D374" s="33"/>
      <c r="E374" s="33"/>
      <c r="F374" s="34"/>
      <c r="G374" s="34"/>
      <c r="H374" s="34"/>
      <c r="I374" s="32"/>
      <c r="J374" s="30"/>
    </row>
    <row r="375" spans="1:10" ht="18.75" hidden="1" x14ac:dyDescent="0.3">
      <c r="A375" s="43"/>
      <c r="B375" s="32"/>
      <c r="C375" s="32"/>
      <c r="D375" s="33"/>
      <c r="E375" s="33"/>
      <c r="F375" s="34"/>
      <c r="G375" s="34"/>
      <c r="H375" s="34"/>
      <c r="I375" s="32"/>
      <c r="J375" s="30"/>
    </row>
    <row r="376" spans="1:10" ht="18.75" hidden="1" x14ac:dyDescent="0.3">
      <c r="A376" s="43" t="s">
        <v>307</v>
      </c>
      <c r="B376" s="32"/>
      <c r="C376" s="32"/>
      <c r="D376" s="33">
        <v>1248</v>
      </c>
      <c r="E376" s="33">
        <f t="shared" si="53"/>
        <v>1297.92</v>
      </c>
      <c r="F376" s="34">
        <f t="shared" si="54"/>
        <v>1401.7536000000002</v>
      </c>
      <c r="G376" s="34">
        <f t="shared" ref="G376:G386" si="55">+F376*$G$6</f>
        <v>1513.8938880000003</v>
      </c>
      <c r="H376" s="34"/>
      <c r="I376" s="32"/>
      <c r="J376" s="30" t="s">
        <v>317</v>
      </c>
    </row>
    <row r="377" spans="1:10" ht="18.75" hidden="1" x14ac:dyDescent="0.3">
      <c r="A377" s="43" t="s">
        <v>308</v>
      </c>
      <c r="B377" s="32"/>
      <c r="C377" s="32"/>
      <c r="D377" s="33">
        <v>1248</v>
      </c>
      <c r="E377" s="33">
        <f t="shared" si="53"/>
        <v>1297.92</v>
      </c>
      <c r="F377" s="34">
        <f t="shared" si="54"/>
        <v>1401.7536000000002</v>
      </c>
      <c r="G377" s="34">
        <f t="shared" si="55"/>
        <v>1513.8938880000003</v>
      </c>
      <c r="H377" s="34"/>
      <c r="I377" s="32"/>
      <c r="J377" s="30" t="s">
        <v>317</v>
      </c>
    </row>
    <row r="378" spans="1:10" ht="18.75" hidden="1" x14ac:dyDescent="0.3">
      <c r="A378" s="43" t="s">
        <v>309</v>
      </c>
      <c r="B378" s="32"/>
      <c r="C378" s="32"/>
      <c r="D378" s="33">
        <v>1040</v>
      </c>
      <c r="E378" s="33">
        <f t="shared" si="53"/>
        <v>1081.6000000000001</v>
      </c>
      <c r="F378" s="34">
        <f t="shared" si="54"/>
        <v>1168.1280000000002</v>
      </c>
      <c r="G378" s="34">
        <f t="shared" si="55"/>
        <v>1261.5782400000003</v>
      </c>
      <c r="H378" s="34"/>
      <c r="I378" s="32"/>
      <c r="J378" s="30" t="s">
        <v>317</v>
      </c>
    </row>
    <row r="379" spans="1:10" ht="18.75" hidden="1" x14ac:dyDescent="0.3">
      <c r="A379" s="43" t="s">
        <v>310</v>
      </c>
      <c r="B379" s="32"/>
      <c r="C379" s="32"/>
      <c r="D379" s="33">
        <v>832</v>
      </c>
      <c r="E379" s="33">
        <f t="shared" si="53"/>
        <v>865.28</v>
      </c>
      <c r="F379" s="34">
        <f t="shared" si="54"/>
        <v>934.50240000000008</v>
      </c>
      <c r="G379" s="34">
        <f t="shared" si="55"/>
        <v>1009.2625920000002</v>
      </c>
      <c r="H379" s="34"/>
      <c r="I379" s="32"/>
      <c r="J379" s="30" t="s">
        <v>317</v>
      </c>
    </row>
    <row r="380" spans="1:10" ht="18.75" hidden="1" x14ac:dyDescent="0.3">
      <c r="A380" s="43" t="s">
        <v>311</v>
      </c>
      <c r="B380" s="32"/>
      <c r="C380" s="32"/>
      <c r="D380" s="33">
        <v>1300</v>
      </c>
      <c r="E380" s="33">
        <f t="shared" si="53"/>
        <v>1352</v>
      </c>
      <c r="F380" s="34">
        <f t="shared" si="54"/>
        <v>1460.16</v>
      </c>
      <c r="G380" s="34">
        <f t="shared" si="55"/>
        <v>1576.9728000000002</v>
      </c>
      <c r="H380" s="34"/>
      <c r="I380" s="32"/>
      <c r="J380" s="30" t="s">
        <v>317</v>
      </c>
    </row>
    <row r="381" spans="1:10" ht="18.75" hidden="1" x14ac:dyDescent="0.3">
      <c r="A381" s="43" t="s">
        <v>224</v>
      </c>
      <c r="B381" s="32"/>
      <c r="C381" s="32"/>
      <c r="D381" s="33">
        <v>988</v>
      </c>
      <c r="E381" s="33">
        <f t="shared" si="53"/>
        <v>1027.52</v>
      </c>
      <c r="F381" s="34">
        <f t="shared" si="54"/>
        <v>1109.7216000000001</v>
      </c>
      <c r="G381" s="34">
        <f t="shared" si="55"/>
        <v>1198.4993280000001</v>
      </c>
      <c r="H381" s="34"/>
      <c r="I381" s="32"/>
      <c r="J381" s="30" t="s">
        <v>317</v>
      </c>
    </row>
    <row r="382" spans="1:10" ht="18.75" hidden="1" x14ac:dyDescent="0.3">
      <c r="A382" s="43" t="s">
        <v>312</v>
      </c>
      <c r="B382" s="32"/>
      <c r="C382" s="32"/>
      <c r="D382" s="33">
        <v>780</v>
      </c>
      <c r="E382" s="33">
        <f t="shared" si="53"/>
        <v>811.2</v>
      </c>
      <c r="F382" s="34">
        <f t="shared" si="54"/>
        <v>876.09600000000012</v>
      </c>
      <c r="G382" s="34">
        <f t="shared" si="55"/>
        <v>946.18368000000021</v>
      </c>
      <c r="H382" s="34"/>
      <c r="I382" s="32"/>
      <c r="J382" s="30" t="s">
        <v>317</v>
      </c>
    </row>
    <row r="383" spans="1:10" ht="18.75" hidden="1" x14ac:dyDescent="0.3">
      <c r="A383" s="43" t="s">
        <v>313</v>
      </c>
      <c r="B383" s="32"/>
      <c r="C383" s="32"/>
      <c r="D383" s="33">
        <v>1456</v>
      </c>
      <c r="E383" s="33">
        <f t="shared" si="53"/>
        <v>1514.24</v>
      </c>
      <c r="F383" s="34">
        <f t="shared" si="54"/>
        <v>1635.3792000000001</v>
      </c>
      <c r="G383" s="34">
        <f t="shared" si="55"/>
        <v>1766.2095360000003</v>
      </c>
      <c r="H383" s="34"/>
      <c r="I383" s="32"/>
      <c r="J383" s="30" t="s">
        <v>317</v>
      </c>
    </row>
    <row r="384" spans="1:10" ht="18.75" hidden="1" x14ac:dyDescent="0.3">
      <c r="A384" s="43" t="s">
        <v>314</v>
      </c>
      <c r="B384" s="32"/>
      <c r="C384" s="32"/>
      <c r="D384" s="33">
        <v>567.29</v>
      </c>
      <c r="E384" s="33">
        <v>567.29</v>
      </c>
      <c r="F384" s="44">
        <v>609.07000000000005</v>
      </c>
      <c r="G384" s="34">
        <f t="shared" si="55"/>
        <v>657.79560000000015</v>
      </c>
      <c r="H384" s="34"/>
      <c r="I384" s="32"/>
      <c r="J384" s="30" t="s">
        <v>317</v>
      </c>
    </row>
    <row r="385" spans="1:10" ht="18.75" hidden="1" x14ac:dyDescent="0.3">
      <c r="A385" s="43" t="s">
        <v>315</v>
      </c>
      <c r="B385" s="32"/>
      <c r="C385" s="32"/>
      <c r="D385" s="33">
        <v>273</v>
      </c>
      <c r="E385" s="33">
        <f t="shared" si="53"/>
        <v>283.92</v>
      </c>
      <c r="F385" s="34">
        <f t="shared" si="54"/>
        <v>306.63360000000006</v>
      </c>
      <c r="G385" s="34">
        <f t="shared" si="55"/>
        <v>331.16428800000011</v>
      </c>
      <c r="H385" s="34"/>
      <c r="I385" s="32"/>
      <c r="J385" s="30" t="s">
        <v>317</v>
      </c>
    </row>
    <row r="386" spans="1:10" ht="18.75" hidden="1" x14ac:dyDescent="0.3">
      <c r="A386" s="43" t="s">
        <v>316</v>
      </c>
      <c r="B386" s="32"/>
      <c r="C386" s="32"/>
      <c r="D386" s="33">
        <v>549.95000000000005</v>
      </c>
      <c r="E386" s="33">
        <v>567.29</v>
      </c>
      <c r="F386" s="33">
        <v>609.07000000000005</v>
      </c>
      <c r="G386" s="34">
        <f t="shared" si="55"/>
        <v>657.79560000000015</v>
      </c>
      <c r="H386" s="34"/>
      <c r="I386" s="32"/>
      <c r="J386" s="30" t="s">
        <v>317</v>
      </c>
    </row>
    <row r="387" spans="1:10" ht="18.75" hidden="1" x14ac:dyDescent="0.3">
      <c r="A387" s="43"/>
      <c r="B387" s="32"/>
      <c r="C387" s="32"/>
      <c r="D387" s="33"/>
      <c r="E387" s="33"/>
      <c r="F387" s="33"/>
      <c r="G387" s="33"/>
      <c r="H387" s="33"/>
      <c r="I387" s="32"/>
      <c r="J387" s="30"/>
    </row>
    <row r="388" spans="1:10" ht="18.75" hidden="1" x14ac:dyDescent="0.3">
      <c r="A388" s="43"/>
      <c r="B388" s="32"/>
      <c r="C388" s="32"/>
      <c r="D388" s="33"/>
      <c r="E388" s="33"/>
      <c r="F388" s="33"/>
      <c r="G388" s="33"/>
      <c r="H388" s="33"/>
      <c r="I388" s="32"/>
      <c r="J388" s="30"/>
    </row>
    <row r="389" spans="1:10" ht="18.75" hidden="1" x14ac:dyDescent="0.3">
      <c r="A389" s="43"/>
      <c r="B389" s="32"/>
      <c r="C389" s="32"/>
      <c r="D389" s="33"/>
      <c r="E389" s="33"/>
      <c r="F389" s="33"/>
      <c r="G389" s="33"/>
      <c r="H389" s="33"/>
      <c r="I389" s="32"/>
      <c r="J389" s="30"/>
    </row>
    <row r="390" spans="1:10" hidden="1" x14ac:dyDescent="0.25"/>
    <row r="391" spans="1:10" ht="20.25" hidden="1" x14ac:dyDescent="0.3">
      <c r="A391" s="58" t="s">
        <v>198</v>
      </c>
      <c r="B391" s="58"/>
      <c r="C391" s="58"/>
      <c r="D391" s="58"/>
      <c r="E391" s="58"/>
      <c r="F391" s="58"/>
      <c r="G391" s="58"/>
      <c r="H391" s="58"/>
      <c r="I391" s="58"/>
      <c r="J391" s="30" t="s">
        <v>317</v>
      </c>
    </row>
    <row r="392" spans="1:10" ht="18.75" hidden="1" x14ac:dyDescent="0.3">
      <c r="A392" s="32" t="s">
        <v>199</v>
      </c>
      <c r="B392" s="32"/>
      <c r="C392" s="32"/>
      <c r="D392" s="33">
        <v>450</v>
      </c>
      <c r="E392" s="33">
        <f>D392*1.04</f>
        <v>468</v>
      </c>
      <c r="F392" s="34">
        <f>E392*1.08</f>
        <v>505.44000000000005</v>
      </c>
      <c r="G392" s="34">
        <f>F392*1.08</f>
        <v>545.87520000000006</v>
      </c>
      <c r="H392" s="34"/>
      <c r="I392" s="32"/>
      <c r="J392" s="30" t="s">
        <v>317</v>
      </c>
    </row>
    <row r="393" spans="1:10" hidden="1" x14ac:dyDescent="0.25"/>
    <row r="395" spans="1:10" ht="20.25" x14ac:dyDescent="0.3">
      <c r="A395" s="55" t="s">
        <v>189</v>
      </c>
      <c r="B395" s="55"/>
      <c r="C395" s="55"/>
      <c r="D395" s="55"/>
      <c r="E395" s="55"/>
      <c r="F395" s="55"/>
      <c r="G395" s="55"/>
      <c r="H395" s="55"/>
      <c r="I395" s="55"/>
    </row>
    <row r="396" spans="1:10" ht="18.75" x14ac:dyDescent="0.3">
      <c r="A396" s="32"/>
      <c r="B396" s="32"/>
      <c r="C396" s="32"/>
      <c r="D396" s="32"/>
      <c r="E396" s="32"/>
      <c r="F396" s="45"/>
      <c r="G396" s="45"/>
      <c r="H396" s="45"/>
      <c r="I396" s="32"/>
      <c r="J396" s="30"/>
    </row>
    <row r="397" spans="1:10" ht="18.75" x14ac:dyDescent="0.3">
      <c r="A397" s="64" t="s">
        <v>169</v>
      </c>
      <c r="B397" s="64"/>
      <c r="C397" s="64"/>
      <c r="D397" s="64"/>
      <c r="E397" s="64"/>
      <c r="F397" s="68">
        <v>500000</v>
      </c>
      <c r="G397" s="68">
        <f>+F397</f>
        <v>500000</v>
      </c>
      <c r="H397" s="69">
        <v>600000</v>
      </c>
      <c r="I397" s="32"/>
      <c r="J397" s="30" t="s">
        <v>190</v>
      </c>
    </row>
    <row r="398" spans="1:10" ht="18.75" x14ac:dyDescent="0.3">
      <c r="A398" s="32"/>
      <c r="B398" s="32"/>
      <c r="C398" s="32"/>
      <c r="D398" s="32"/>
      <c r="E398" s="32"/>
      <c r="F398" s="45"/>
      <c r="G398" s="45"/>
      <c r="H398" s="45"/>
      <c r="I398" s="32"/>
      <c r="J398" s="30"/>
    </row>
  </sheetData>
  <mergeCells count="16">
    <mergeCell ref="A14:I14"/>
    <mergeCell ref="A111:J111"/>
    <mergeCell ref="A83:J83"/>
    <mergeCell ref="A395:I395"/>
    <mergeCell ref="A53:J53"/>
    <mergeCell ref="A68:J68"/>
    <mergeCell ref="A85:J85"/>
    <mergeCell ref="A123:J123"/>
    <mergeCell ref="A139:J139"/>
    <mergeCell ref="A218:I218"/>
    <mergeCell ref="A187:I187"/>
    <mergeCell ref="A169:I169"/>
    <mergeCell ref="A161:I161"/>
    <mergeCell ref="A140:I140"/>
    <mergeCell ref="A272:I272"/>
    <mergeCell ref="A391:I391"/>
  </mergeCells>
  <phoneticPr fontId="7" type="noConversion"/>
  <printOptions horizontalCentered="1"/>
  <pageMargins left="0.47244094488188981" right="0.39370078740157483" top="0.55118110236220474" bottom="0.51181102362204722" header="0.31496062992125984" footer="0.31496062992125984"/>
  <pageSetup scale="75" orientation="portrait" r:id="rId1"/>
  <headerFoot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topLeftCell="A21" workbookViewId="0">
      <selection activeCell="C109" sqref="C109"/>
    </sheetView>
  </sheetViews>
  <sheetFormatPr baseColWidth="10" defaultColWidth="11.5703125" defaultRowHeight="15" x14ac:dyDescent="0.25"/>
  <cols>
    <col min="1" max="1" width="44.140625" customWidth="1"/>
    <col min="2" max="2" width="11.85546875" style="3" bestFit="1" customWidth="1"/>
    <col min="3" max="3" width="43.28515625" customWidth="1"/>
  </cols>
  <sheetData>
    <row r="1" spans="1:3" x14ac:dyDescent="0.25">
      <c r="A1" t="s">
        <v>0</v>
      </c>
    </row>
    <row r="4" spans="1:3" x14ac:dyDescent="0.25">
      <c r="A4" t="s">
        <v>4</v>
      </c>
      <c r="B4" s="3">
        <v>1.310295</v>
      </c>
      <c r="C4" t="s">
        <v>16</v>
      </c>
    </row>
    <row r="5" spans="1:3" x14ac:dyDescent="0.25">
      <c r="A5" t="s">
        <v>5</v>
      </c>
      <c r="B5" s="3">
        <v>0.70528499999999994</v>
      </c>
      <c r="C5" t="s">
        <v>16</v>
      </c>
    </row>
    <row r="6" spans="1:3" x14ac:dyDescent="0.25">
      <c r="A6" t="s">
        <v>6</v>
      </c>
      <c r="B6" s="4">
        <v>248.85</v>
      </c>
      <c r="C6" t="s">
        <v>17</v>
      </c>
    </row>
    <row r="7" spans="1:3" x14ac:dyDescent="0.25"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C10" t="s">
        <v>27</v>
      </c>
    </row>
    <row r="11" spans="1:3" x14ac:dyDescent="0.25">
      <c r="A11" t="s">
        <v>14</v>
      </c>
      <c r="B11" s="3">
        <v>0.20769000000000001</v>
      </c>
      <c r="C11" t="s">
        <v>16</v>
      </c>
    </row>
    <row r="12" spans="1:3" ht="32.450000000000003" customHeight="1" x14ac:dyDescent="0.25">
      <c r="A12" s="2" t="s">
        <v>15</v>
      </c>
      <c r="C12" s="1" t="s">
        <v>28</v>
      </c>
    </row>
    <row r="13" spans="1:3" x14ac:dyDescent="0.25">
      <c r="A13" t="s">
        <v>18</v>
      </c>
      <c r="B13" s="3">
        <v>470.4</v>
      </c>
    </row>
    <row r="14" spans="1:3" x14ac:dyDescent="0.25">
      <c r="A14" t="s">
        <v>19</v>
      </c>
      <c r="B14" s="3">
        <v>586.95000000000005</v>
      </c>
    </row>
    <row r="15" spans="1:3" x14ac:dyDescent="0.25">
      <c r="A15" t="s">
        <v>20</v>
      </c>
      <c r="B15" s="3">
        <v>586.95000000000005</v>
      </c>
    </row>
    <row r="16" spans="1:3" x14ac:dyDescent="0.25">
      <c r="A16" t="s">
        <v>21</v>
      </c>
      <c r="B16" s="3">
        <v>855.75</v>
      </c>
    </row>
    <row r="17" spans="1:3" x14ac:dyDescent="0.25">
      <c r="A17" t="s">
        <v>22</v>
      </c>
      <c r="B17" s="3">
        <v>855.75</v>
      </c>
    </row>
    <row r="18" spans="1:3" x14ac:dyDescent="0.25">
      <c r="A18" t="s">
        <v>23</v>
      </c>
      <c r="B18" s="3">
        <v>855.75</v>
      </c>
    </row>
    <row r="19" spans="1:3" x14ac:dyDescent="0.25">
      <c r="A19" t="s">
        <v>29</v>
      </c>
      <c r="B19" s="3">
        <v>234.15</v>
      </c>
    </row>
    <row r="20" spans="1:3" x14ac:dyDescent="0.25">
      <c r="A20" t="s">
        <v>30</v>
      </c>
      <c r="B20" s="3">
        <v>234.15</v>
      </c>
      <c r="C20" t="s">
        <v>31</v>
      </c>
    </row>
    <row r="21" spans="1:3" x14ac:dyDescent="0.25">
      <c r="A21" t="s">
        <v>7</v>
      </c>
      <c r="B21" s="3">
        <v>254.1</v>
      </c>
      <c r="C21" t="s">
        <v>32</v>
      </c>
    </row>
    <row r="22" spans="1:3" x14ac:dyDescent="0.25">
      <c r="A22" t="s">
        <v>33</v>
      </c>
      <c r="B22" s="3">
        <v>203.7</v>
      </c>
      <c r="C22" t="s">
        <v>34</v>
      </c>
    </row>
    <row r="23" spans="1:3" x14ac:dyDescent="0.25">
      <c r="A23" t="s">
        <v>35</v>
      </c>
      <c r="B23" s="3">
        <v>490.65</v>
      </c>
    </row>
    <row r="24" spans="1:3" x14ac:dyDescent="0.25">
      <c r="A24" t="s">
        <v>36</v>
      </c>
      <c r="B24" s="3">
        <v>389.55</v>
      </c>
    </row>
    <row r="25" spans="1:3" x14ac:dyDescent="0.25">
      <c r="A25" t="s">
        <v>37</v>
      </c>
      <c r="B25" s="3">
        <v>194.25</v>
      </c>
    </row>
    <row r="26" spans="1:3" x14ac:dyDescent="0.25">
      <c r="A26" t="s">
        <v>38</v>
      </c>
      <c r="B26" s="3">
        <v>175.35</v>
      </c>
    </row>
    <row r="27" spans="1:3" x14ac:dyDescent="0.25">
      <c r="A27" t="s">
        <v>39</v>
      </c>
      <c r="B27" s="3">
        <v>160.65</v>
      </c>
    </row>
    <row r="28" spans="1:3" x14ac:dyDescent="0.25">
      <c r="A28" t="s">
        <v>40</v>
      </c>
    </row>
    <row r="29" spans="1:3" x14ac:dyDescent="0.25">
      <c r="A29" t="s">
        <v>41</v>
      </c>
      <c r="B29" s="3">
        <v>433.65</v>
      </c>
    </row>
    <row r="30" spans="1:3" x14ac:dyDescent="0.25">
      <c r="A30" t="s">
        <v>42</v>
      </c>
      <c r="B30" s="3">
        <v>240.45</v>
      </c>
    </row>
    <row r="31" spans="1:3" x14ac:dyDescent="0.25">
      <c r="A31" t="s">
        <v>43</v>
      </c>
      <c r="B31" s="3">
        <v>693</v>
      </c>
    </row>
    <row r="32" spans="1:3" x14ac:dyDescent="0.25">
      <c r="A32" t="s">
        <v>44</v>
      </c>
      <c r="B32" s="3">
        <v>463.05</v>
      </c>
    </row>
    <row r="33" spans="1:3" x14ac:dyDescent="0.25">
      <c r="A33" t="s">
        <v>45</v>
      </c>
      <c r="B33" s="3">
        <v>56.7</v>
      </c>
    </row>
    <row r="34" spans="1:3" x14ac:dyDescent="0.25">
      <c r="A34" t="s">
        <v>46</v>
      </c>
      <c r="B34" s="3">
        <v>80.849999999999994</v>
      </c>
    </row>
    <row r="35" spans="1:3" x14ac:dyDescent="0.25">
      <c r="A35" t="s">
        <v>8</v>
      </c>
      <c r="B35" s="3">
        <v>165.9</v>
      </c>
      <c r="C35" t="s">
        <v>93</v>
      </c>
    </row>
    <row r="36" spans="1:3" x14ac:dyDescent="0.25">
      <c r="A36" t="s">
        <v>9</v>
      </c>
      <c r="B36" s="3">
        <v>121.8</v>
      </c>
      <c r="C36" t="s">
        <v>93</v>
      </c>
    </row>
    <row r="37" spans="1:3" x14ac:dyDescent="0.25">
      <c r="A37" t="s">
        <v>10</v>
      </c>
      <c r="B37" s="3">
        <v>300.3</v>
      </c>
      <c r="C37" t="s">
        <v>93</v>
      </c>
    </row>
    <row r="38" spans="1:3" x14ac:dyDescent="0.25">
      <c r="A38" t="s">
        <v>11</v>
      </c>
      <c r="B38" s="3">
        <v>179.55</v>
      </c>
      <c r="C38" t="s">
        <v>93</v>
      </c>
    </row>
    <row r="39" spans="1:3" x14ac:dyDescent="0.25">
      <c r="A39" t="s">
        <v>47</v>
      </c>
      <c r="B39" s="3">
        <v>119.7</v>
      </c>
      <c r="C39" t="s">
        <v>93</v>
      </c>
    </row>
    <row r="40" spans="1:3" x14ac:dyDescent="0.25">
      <c r="A40" t="s">
        <v>48</v>
      </c>
      <c r="B40" s="3">
        <v>119.7</v>
      </c>
      <c r="C40" t="s">
        <v>93</v>
      </c>
    </row>
    <row r="41" spans="1:3" x14ac:dyDescent="0.25">
      <c r="A41" t="s">
        <v>12</v>
      </c>
      <c r="B41" s="3">
        <v>299.35000000000002</v>
      </c>
      <c r="C41" t="s">
        <v>93</v>
      </c>
    </row>
    <row r="46" spans="1:3" x14ac:dyDescent="0.25">
      <c r="A46" t="s">
        <v>1</v>
      </c>
    </row>
    <row r="48" spans="1:3" x14ac:dyDescent="0.25">
      <c r="A48" t="s">
        <v>49</v>
      </c>
      <c r="B48" s="3">
        <v>1.2002550000000001</v>
      </c>
    </row>
    <row r="49" spans="1:3" x14ac:dyDescent="0.25">
      <c r="A49" t="s">
        <v>50</v>
      </c>
      <c r="B49" s="3">
        <v>0.64638000000000007</v>
      </c>
    </row>
    <row r="50" spans="1:3" x14ac:dyDescent="0.25">
      <c r="A50" t="s">
        <v>51</v>
      </c>
      <c r="B50" s="3">
        <v>234.15</v>
      </c>
    </row>
    <row r="51" spans="1:3" x14ac:dyDescent="0.25">
      <c r="A51" t="s">
        <v>52</v>
      </c>
      <c r="B51" s="3">
        <v>123.9</v>
      </c>
    </row>
    <row r="52" spans="1:3" x14ac:dyDescent="0.25">
      <c r="A52" t="s">
        <v>53</v>
      </c>
      <c r="B52" s="3">
        <v>262.5</v>
      </c>
    </row>
    <row r="53" spans="1:3" x14ac:dyDescent="0.25">
      <c r="A53" t="s">
        <v>54</v>
      </c>
      <c r="B53" s="3">
        <v>892.5</v>
      </c>
    </row>
    <row r="54" spans="1:3" x14ac:dyDescent="0.25">
      <c r="A54" t="s">
        <v>55</v>
      </c>
      <c r="B54" s="3">
        <v>105</v>
      </c>
    </row>
    <row r="56" spans="1:3" x14ac:dyDescent="0.25">
      <c r="A56" t="s">
        <v>2</v>
      </c>
    </row>
    <row r="58" spans="1:3" x14ac:dyDescent="0.25">
      <c r="A58" t="s">
        <v>58</v>
      </c>
      <c r="B58" s="3">
        <v>1.67286</v>
      </c>
      <c r="C58" t="s">
        <v>56</v>
      </c>
    </row>
    <row r="59" spans="1:3" x14ac:dyDescent="0.25">
      <c r="A59" t="s">
        <v>59</v>
      </c>
      <c r="B59" s="3">
        <v>1.162455</v>
      </c>
      <c r="C59" t="s">
        <v>56</v>
      </c>
    </row>
    <row r="61" spans="1:3" x14ac:dyDescent="0.25">
      <c r="A61" t="s">
        <v>60</v>
      </c>
      <c r="B61" s="3">
        <v>1.2585300000000001</v>
      </c>
      <c r="C61" t="s">
        <v>56</v>
      </c>
    </row>
    <row r="62" spans="1:3" x14ac:dyDescent="0.25">
      <c r="A62" t="s">
        <v>61</v>
      </c>
      <c r="B62" s="3">
        <v>0.87454500000000002</v>
      </c>
      <c r="C62" t="s">
        <v>56</v>
      </c>
    </row>
    <row r="64" spans="1:3" x14ac:dyDescent="0.25">
      <c r="A64" t="s">
        <v>62</v>
      </c>
      <c r="B64" s="3">
        <v>1.99143</v>
      </c>
      <c r="C64" t="s">
        <v>56</v>
      </c>
    </row>
    <row r="65" spans="1:3" x14ac:dyDescent="0.25">
      <c r="A65" t="s">
        <v>63</v>
      </c>
      <c r="B65" s="3">
        <v>1.3839000000000001</v>
      </c>
      <c r="C65" t="s">
        <v>56</v>
      </c>
    </row>
    <row r="67" spans="1:3" x14ac:dyDescent="0.25">
      <c r="A67" t="s">
        <v>64</v>
      </c>
      <c r="B67" s="3">
        <v>1.5293249999999998</v>
      </c>
      <c r="C67" t="s">
        <v>56</v>
      </c>
    </row>
    <row r="68" spans="1:3" x14ac:dyDescent="0.25">
      <c r="A68" t="s">
        <v>65</v>
      </c>
      <c r="B68" s="3">
        <v>1.06281</v>
      </c>
      <c r="C68" t="s">
        <v>56</v>
      </c>
    </row>
    <row r="70" spans="1:3" x14ac:dyDescent="0.25">
      <c r="A70" t="s">
        <v>66</v>
      </c>
    </row>
    <row r="71" spans="1:3" x14ac:dyDescent="0.25">
      <c r="A71" t="s">
        <v>67</v>
      </c>
      <c r="B71" s="3">
        <v>1069.95</v>
      </c>
      <c r="C71" t="s">
        <v>57</v>
      </c>
    </row>
    <row r="72" spans="1:3" x14ac:dyDescent="0.25">
      <c r="A72" t="s">
        <v>13</v>
      </c>
      <c r="B72" s="3">
        <v>474.6</v>
      </c>
      <c r="C72" t="s">
        <v>57</v>
      </c>
    </row>
    <row r="73" spans="1:3" x14ac:dyDescent="0.25">
      <c r="A73" t="s">
        <v>68</v>
      </c>
      <c r="B73" s="3">
        <v>594.29999999999995</v>
      </c>
      <c r="C73" t="s">
        <v>57</v>
      </c>
    </row>
    <row r="74" spans="1:3" x14ac:dyDescent="0.25">
      <c r="A74" t="s">
        <v>69</v>
      </c>
      <c r="B74" s="3">
        <v>470.4</v>
      </c>
      <c r="C74" t="s">
        <v>57</v>
      </c>
    </row>
    <row r="75" spans="1:3" x14ac:dyDescent="0.25">
      <c r="A75" t="s">
        <v>70</v>
      </c>
      <c r="B75" s="3">
        <v>584.85</v>
      </c>
      <c r="C75" t="s">
        <v>57</v>
      </c>
    </row>
    <row r="76" spans="1:3" x14ac:dyDescent="0.25">
      <c r="A76" t="s">
        <v>71</v>
      </c>
      <c r="B76" s="3">
        <v>202.65</v>
      </c>
    </row>
    <row r="77" spans="1:3" x14ac:dyDescent="0.25">
      <c r="A77" t="s">
        <v>72</v>
      </c>
      <c r="B77" s="3">
        <v>105</v>
      </c>
    </row>
    <row r="78" spans="1:3" x14ac:dyDescent="0.25">
      <c r="A78" t="s">
        <v>73</v>
      </c>
      <c r="B78" s="3">
        <v>105</v>
      </c>
    </row>
    <row r="79" spans="1:3" x14ac:dyDescent="0.25">
      <c r="A79" t="s">
        <v>74</v>
      </c>
      <c r="B79" s="3">
        <v>433.65</v>
      </c>
    </row>
    <row r="80" spans="1:3" x14ac:dyDescent="0.25">
      <c r="A80" t="s">
        <v>75</v>
      </c>
      <c r="B80" s="3">
        <v>202.65</v>
      </c>
    </row>
    <row r="81" spans="1:2" x14ac:dyDescent="0.25">
      <c r="A81" t="s">
        <v>76</v>
      </c>
      <c r="B81" s="3">
        <v>254.1</v>
      </c>
    </row>
    <row r="82" spans="1:2" x14ac:dyDescent="0.25">
      <c r="A82" t="s">
        <v>77</v>
      </c>
      <c r="B82" s="3">
        <v>254.1</v>
      </c>
    </row>
    <row r="84" spans="1:2" x14ac:dyDescent="0.25">
      <c r="A84" t="s">
        <v>3</v>
      </c>
    </row>
    <row r="85" spans="1:2" x14ac:dyDescent="0.25">
      <c r="A85" t="s">
        <v>78</v>
      </c>
    </row>
    <row r="86" spans="1:2" x14ac:dyDescent="0.25">
      <c r="A86" t="s">
        <v>79</v>
      </c>
      <c r="B86" s="3">
        <v>673.05</v>
      </c>
    </row>
    <row r="87" spans="1:2" x14ac:dyDescent="0.25">
      <c r="A87" t="s">
        <v>80</v>
      </c>
      <c r="B87" s="3">
        <v>109.72499999999999</v>
      </c>
    </row>
    <row r="89" spans="1:2" x14ac:dyDescent="0.25">
      <c r="A89" t="s">
        <v>81</v>
      </c>
      <c r="B89" s="3">
        <v>603.75</v>
      </c>
    </row>
    <row r="90" spans="1:2" x14ac:dyDescent="0.25">
      <c r="A90" t="s">
        <v>82</v>
      </c>
      <c r="B90" s="3">
        <v>97.65</v>
      </c>
    </row>
    <row r="92" spans="1:2" x14ac:dyDescent="0.25">
      <c r="A92" t="s">
        <v>83</v>
      </c>
      <c r="B92" s="3">
        <v>542.85</v>
      </c>
    </row>
    <row r="93" spans="1:2" x14ac:dyDescent="0.25">
      <c r="A93" t="s">
        <v>84</v>
      </c>
      <c r="B93" s="3">
        <v>88.2</v>
      </c>
    </row>
    <row r="95" spans="1:2" x14ac:dyDescent="0.25">
      <c r="A95" t="s">
        <v>85</v>
      </c>
      <c r="B95" s="3">
        <v>168</v>
      </c>
    </row>
    <row r="96" spans="1:2" x14ac:dyDescent="0.25">
      <c r="A96" t="s">
        <v>86</v>
      </c>
      <c r="B96" s="3">
        <v>151.19999999999999</v>
      </c>
    </row>
    <row r="97" spans="1:2" x14ac:dyDescent="0.25">
      <c r="A97" t="s">
        <v>87</v>
      </c>
      <c r="B97" s="3">
        <v>136.5</v>
      </c>
    </row>
    <row r="99" spans="1:2" x14ac:dyDescent="0.25">
      <c r="A99" t="s">
        <v>88</v>
      </c>
    </row>
    <row r="101" spans="1:2" x14ac:dyDescent="0.25">
      <c r="A101" t="s">
        <v>89</v>
      </c>
      <c r="B101" s="3">
        <v>2.3490600000000001</v>
      </c>
    </row>
    <row r="102" spans="1:2" x14ac:dyDescent="0.25">
      <c r="A102" t="s">
        <v>90</v>
      </c>
      <c r="B102" s="3">
        <v>693</v>
      </c>
    </row>
    <row r="103" spans="1:2" x14ac:dyDescent="0.25">
      <c r="A103" t="s">
        <v>91</v>
      </c>
      <c r="B103" s="3">
        <v>458.85</v>
      </c>
    </row>
    <row r="104" spans="1:2" x14ac:dyDescent="0.25">
      <c r="A104" t="s">
        <v>92</v>
      </c>
      <c r="B104" s="3">
        <v>918.75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56C4-EE1D-4BD8-85B0-CA53C5375069}">
  <dimension ref="B1:E7"/>
  <sheetViews>
    <sheetView workbookViewId="0">
      <selection activeCell="C2" sqref="C2"/>
    </sheetView>
  </sheetViews>
  <sheetFormatPr baseColWidth="10" defaultRowHeight="15" x14ac:dyDescent="0.25"/>
  <cols>
    <col min="2" max="2" width="17.85546875" bestFit="1" customWidth="1"/>
  </cols>
  <sheetData>
    <row r="1" spans="2:5" x14ac:dyDescent="0.25">
      <c r="D1" s="6" t="s">
        <v>109</v>
      </c>
      <c r="E1" s="6" t="s">
        <v>113</v>
      </c>
    </row>
    <row r="2" spans="2:5" x14ac:dyDescent="0.25">
      <c r="B2" t="s">
        <v>107</v>
      </c>
      <c r="C2" s="5">
        <v>0.29166666666666669</v>
      </c>
      <c r="D2">
        <v>1</v>
      </c>
    </row>
    <row r="3" spans="2:5" x14ac:dyDescent="0.25">
      <c r="B3" s="5" t="s">
        <v>108</v>
      </c>
      <c r="C3" s="5">
        <v>1.3888888888888888E-2</v>
      </c>
      <c r="D3">
        <v>2</v>
      </c>
      <c r="E3" s="8">
        <v>17.2</v>
      </c>
    </row>
    <row r="4" spans="2:5" x14ac:dyDescent="0.25">
      <c r="B4" t="s">
        <v>110</v>
      </c>
      <c r="C4" s="5">
        <v>0.33333333333333331</v>
      </c>
      <c r="D4">
        <v>2</v>
      </c>
      <c r="E4" s="8">
        <v>7.4</v>
      </c>
    </row>
    <row r="5" spans="2:5" x14ac:dyDescent="0.25">
      <c r="B5" t="s">
        <v>111</v>
      </c>
      <c r="C5" s="5">
        <v>0.41666666666666669</v>
      </c>
      <c r="D5">
        <v>3</v>
      </c>
      <c r="E5" s="8">
        <v>26</v>
      </c>
    </row>
    <row r="6" spans="2:5" x14ac:dyDescent="0.25">
      <c r="E6" s="8"/>
    </row>
    <row r="7" spans="2:5" x14ac:dyDescent="0.25">
      <c r="C7" s="7" t="s">
        <v>112</v>
      </c>
      <c r="D7" s="5"/>
      <c r="E7" s="9">
        <f>SUM(E3:E6)</f>
        <v>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Ibarra</dc:creator>
  <cp:lastModifiedBy>USUARIO-112</cp:lastModifiedBy>
  <cp:lastPrinted>2024-03-21T19:42:07Z</cp:lastPrinted>
  <dcterms:created xsi:type="dcterms:W3CDTF">2017-03-14T22:57:43Z</dcterms:created>
  <dcterms:modified xsi:type="dcterms:W3CDTF">2024-07-01T15:48:38Z</dcterms:modified>
</cp:coreProperties>
</file>